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bimaaristo/Downloads/"/>
    </mc:Choice>
  </mc:AlternateContent>
  <xr:revisionPtr revIDLastSave="0" documentId="13_ncr:1_{A5CD47BF-65BF-DE47-A828-3A3A734B882A}" xr6:coauthVersionLast="47" xr6:coauthVersionMax="47" xr10:uidLastSave="{00000000-0000-0000-0000-000000000000}"/>
  <bookViews>
    <workbookView xWindow="0" yWindow="660" windowWidth="30240" windowHeight="18980" xr2:uid="{00000000-000D-0000-FFFF-FFFF00000000}"/>
  </bookViews>
  <sheets>
    <sheet name="Additional Attribute" sheetId="3"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1" roundtripDataChecksum="HBwU/zzxj0Q9rQl1wnvT3BCFVpHA0CcsXLygInxl5Is="/>
    </ext>
  </extLst>
</workbook>
</file>

<file path=xl/calcChain.xml><?xml version="1.0" encoding="utf-8"?>
<calcChain xmlns="http://schemas.openxmlformats.org/spreadsheetml/2006/main">
  <c r="Q42" i="3" l="1"/>
  <c r="M42" i="3" s="1"/>
  <c r="Q41" i="3"/>
  <c r="M41" i="3" s="1"/>
  <c r="M40" i="3"/>
  <c r="Q39" i="3"/>
  <c r="M39" i="3"/>
  <c r="Q38" i="3"/>
  <c r="M38" i="3" s="1"/>
  <c r="O37" i="3"/>
  <c r="M37" i="3" s="1"/>
  <c r="M36" i="3"/>
  <c r="Q35" i="3"/>
  <c r="M35" i="3" s="1"/>
  <c r="Q34" i="3"/>
  <c r="M34" i="3" s="1"/>
  <c r="Q33" i="3"/>
  <c r="M33" i="3" s="1"/>
  <c r="Q32" i="3"/>
  <c r="M32" i="3" s="1"/>
  <c r="M31" i="3"/>
  <c r="M30" i="3"/>
  <c r="M29" i="3"/>
  <c r="M28" i="3"/>
  <c r="O27" i="3"/>
  <c r="M27" i="3"/>
  <c r="M26" i="3"/>
  <c r="Q25" i="3"/>
  <c r="M25" i="3"/>
  <c r="Q24" i="3"/>
  <c r="M24" i="3" s="1"/>
  <c r="M23" i="3"/>
  <c r="M22" i="3"/>
  <c r="M21" i="3"/>
  <c r="N20" i="3"/>
  <c r="M20" i="3"/>
  <c r="M19" i="3"/>
  <c r="M18" i="3"/>
  <c r="M17" i="3"/>
  <c r="M16" i="3"/>
  <c r="M15" i="3"/>
  <c r="M14" i="3"/>
  <c r="M13" i="3"/>
  <c r="M12" i="3"/>
  <c r="M11" i="3"/>
  <c r="M10" i="3"/>
  <c r="M9" i="3"/>
  <c r="Q8" i="3"/>
  <c r="M8" i="3" s="1"/>
  <c r="Q7" i="3"/>
  <c r="M7" i="3"/>
  <c r="Q6" i="3"/>
  <c r="M6" i="3" s="1"/>
  <c r="M5" i="3"/>
  <c r="M4" i="3"/>
  <c r="M3" i="3"/>
  <c r="M2" i="3"/>
</calcChain>
</file>

<file path=xl/sharedStrings.xml><?xml version="1.0" encoding="utf-8"?>
<sst xmlns="http://schemas.openxmlformats.org/spreadsheetml/2006/main" count="463" uniqueCount="261">
  <si>
    <t>Type</t>
  </si>
  <si>
    <t>1 Level Categorization</t>
  </si>
  <si>
    <t>2 Level Categorization</t>
  </si>
  <si>
    <t>AI</t>
  </si>
  <si>
    <t>Current Python POC completed</t>
  </si>
  <si>
    <t>Document extraction and data analysis</t>
  </si>
  <si>
    <t>data comparison</t>
  </si>
  <si>
    <t>data comparison, auto email</t>
  </si>
  <si>
    <t>data consolidation</t>
  </si>
  <si>
    <t>Document creation and modification</t>
  </si>
  <si>
    <t>PDF to Excel, data comparison</t>
  </si>
  <si>
    <t>OCR Document Text Extraction</t>
  </si>
  <si>
    <t>files to excel, auto email</t>
  </si>
  <si>
    <t>PDF to Excel</t>
  </si>
  <si>
    <t>non-AI</t>
  </si>
  <si>
    <t>Docusign</t>
  </si>
  <si>
    <t>Docusign report</t>
  </si>
  <si>
    <t>Power Automate</t>
  </si>
  <si>
    <t>email attachment to sharedrive</t>
  </si>
  <si>
    <t>sharedrive to sharedrive</t>
  </si>
  <si>
    <t>Power Automate (except mass create PO)</t>
  </si>
  <si>
    <t>email attachment to sharedrive, auto email</t>
  </si>
  <si>
    <t>SAP API</t>
  </si>
  <si>
    <t>Shopify</t>
  </si>
  <si>
    <t>Shopify settings</t>
  </si>
  <si>
    <t>Department</t>
  </si>
  <si>
    <t>Topic</t>
  </si>
  <si>
    <t>Description</t>
  </si>
  <si>
    <t>Application Involved</t>
  </si>
  <si>
    <t>Human effort (per month or per year)</t>
  </si>
  <si>
    <t>PS owner</t>
  </si>
  <si>
    <t>Remarks</t>
  </si>
  <si>
    <t xml:space="preserve">Status </t>
  </si>
  <si>
    <t>Priority</t>
  </si>
  <si>
    <t>Benefit / Savings (hrs / year)</t>
  </si>
  <si>
    <t>daily</t>
  </si>
  <si>
    <t>weekly</t>
  </si>
  <si>
    <t>yearly</t>
  </si>
  <si>
    <t>monthly</t>
  </si>
  <si>
    <t>Supply Chain (Ops Team)</t>
  </si>
  <si>
    <t>OCR automation</t>
  </si>
  <si>
    <t>Extract all PDF info from ALL Carrier invoices for payment to carriers</t>
  </si>
  <si>
    <t>PDF, EXCEL</t>
  </si>
  <si>
    <t>300 invoices
2-3 hours daily</t>
  </si>
  <si>
    <t>Keith</t>
  </si>
  <si>
    <t>Extract invoice detail from PDF, Using invoice detail from excel file to populate information for payment to carriers</t>
  </si>
  <si>
    <t>New</t>
  </si>
  <si>
    <t>Supply Chain (Ops)</t>
  </si>
  <si>
    <t>Automation for 3rd party (Asian Supply DM PO) process</t>
  </si>
  <si>
    <t xml:space="preserve">To streamline the manual process of 3rd party Asian supplier DM process </t>
  </si>
  <si>
    <t xml:space="preserve">email , sharedrive </t>
  </si>
  <si>
    <t>2 hours daily</t>
  </si>
  <si>
    <t>Serene Chay</t>
  </si>
  <si>
    <t>1. Mass create PO
2. Compiling the shipping docs from supplier and 
3. Consolidate all shipping docs from Asian suppliers for DM eg BL from supplier , Invoice from sharedrive) and merge them together to a designated folder and send to email</t>
  </si>
  <si>
    <t>Supply Chain (POSM &amp; Copacking)</t>
  </si>
  <si>
    <t>Updating market stakeholders on stock status</t>
  </si>
  <si>
    <t>Proactively update market stakeholders on their POSM stock status</t>
  </si>
  <si>
    <t>SAP,  PPP Store</t>
  </si>
  <si>
    <t>2 hours per day</t>
  </si>
  <si>
    <t>Min Thit SAING</t>
  </si>
  <si>
    <t>-Extract outound data from MHCS and HY plant in SAP on a monthly basis
-Validate with Shipping Note due date data on SAP
-Lead time between MHAP and market determined by CS deployment schedule, ETA will be based on earliest deployment after POSM lands in MHAP
- Send periodic update to markets on their PPP store open orders</t>
  </si>
  <si>
    <t>Late Differentiation Improvement (validate SUBPO / tabulate DM replenishment)</t>
  </si>
  <si>
    <t>Summarize the APO forecast, consolidate SOH and in-transit quantities, check DM stock on hand, and calculate the required DM order quantity</t>
  </si>
  <si>
    <t>SAP, APO, Excel</t>
  </si>
  <si>
    <t>225 SKUs per month 
32 hours monthly</t>
  </si>
  <si>
    <t>Khin</t>
  </si>
  <si>
    <t>1. Summarize the APO forecast, consolidate SOH and in-transit quantities in APO
2. Compare against last month data and flagged discrepancy beyong tolerance level
3. Check DM stock on hand in SAP, and calculate the required DM order quantity</t>
  </si>
  <si>
    <t>???</t>
  </si>
  <si>
    <t>Consolidation of 3rd party supplier invoices for DM</t>
  </si>
  <si>
    <t>Consolidate 3rd party supplier DM invoices from generic mailbox to folder</t>
  </si>
  <si>
    <t>Mailbox,Power Automate</t>
  </si>
  <si>
    <t xml:space="preserve">
50 invoices per month
- Shipment to Singapore: 25mins per order (Consolidate, Email, tracking) / estimate 25 orders per month
- Direct Shipment: 45mins per order (8 steps) /estimated 25 orders per month</t>
  </si>
  <si>
    <t>To extract and send all Asian supply invoices from generic mailbox to MCL sub folders in sharedrive (Shipment to Singapore) &amp; to Serene's tracking folder (Direct shipment from supplier to Maison)</t>
  </si>
  <si>
    <t>Invoice validation</t>
  </si>
  <si>
    <t>Verify Maersk and Carrier invoice</t>
  </si>
  <si>
    <t>Excel</t>
  </si>
  <si>
    <t>300 invoices per month
- 230mins per week / 920min per month
- For the 40% of invoices that require SPO = 600min
In total will be 15+10=25hours a month</t>
  </si>
  <si>
    <t>AI able to do the 1st level check when files are input into the "LF work file" and then to highlight or point out ONLY for those &gt;2% and need to raise Service PO
- For those &lt;2%, to send these files to Finance's MIRO folder - estimated 60% of the invoices
- for those &gt;2% which require SAP SPO creation (40%), it will take roughly 5mins per SPO.</t>
  </si>
  <si>
    <t>Compiling the shipping docs to Maersk</t>
  </si>
  <si>
    <t>Consolidate all shipping docs (eg BL from Buyco , Invoice from sharedrive) and merge them together to a designated folder</t>
  </si>
  <si>
    <t xml:space="preserve">Buyco , sharedrive </t>
  </si>
  <si>
    <t>200 Shipping document set per month
- Buyco download: 3mins
- Sharedrive/sharepoint download: 3mins
- Rename: 1min
7mins * 200 = 1400mins per month</t>
  </si>
  <si>
    <t>Gene</t>
  </si>
  <si>
    <t>Late Differentiation Improvement  (Restrict output within 60 days coverage of forecast)</t>
  </si>
  <si>
    <t xml:space="preserve">Flagging out SKUs with over 60 supply days in APO </t>
  </si>
  <si>
    <t>SAP, APO</t>
  </si>
  <si>
    <t>45 mins daily</t>
  </si>
  <si>
    <t>Flagging out SKUs with over 60 supply days in APO</t>
  </si>
  <si>
    <t xml:space="preserve">Extract all PDF info from Carrier BL / SWB for inbound shipments creation </t>
  </si>
  <si>
    <t>PDF, EXCEL, (eventually SAP)</t>
  </si>
  <si>
    <t>600 invoices
3-4 hours weekly</t>
  </si>
  <si>
    <t>Gene Wong</t>
  </si>
  <si>
    <t xml:space="preserve">Extract invoice detail from PDF, Using invoice detail from excel file to populate "inbound shipments creation in SAP" </t>
  </si>
  <si>
    <t>Late Differentiation Improvement (Kitting)</t>
  </si>
  <si>
    <t xml:space="preserve">Consolidation of information from kitting report and populating into MIGO </t>
  </si>
  <si>
    <t>SAP, Excel</t>
  </si>
  <si>
    <t>100 SUBPO per month
16 hrs monthly</t>
  </si>
  <si>
    <t>Automation of SUBPO Quantity and Rate Checking, and Automatic Batch Number Entry via MIGO for GR</t>
  </si>
  <si>
    <t>Forecasting of APAC POSM needs</t>
  </si>
  <si>
    <t>Identifying POSM SKUs to be stored in excess quantities in MHAP or directly purchased from Asian suppliers</t>
  </si>
  <si>
    <t>SAP</t>
  </si>
  <si>
    <t>10 to 16 hours a month if analysis is done on all SKUs in all APAC plants</t>
  </si>
  <si>
    <t>-Read the outbound and inbound data of POSMs in all APAC POSM plants on SAP ECC
-POSM demand forecast for upcoming year by SKU level and category level (e.g., glassware, buckets, etc.)
-Suggest specific SKUs that can be stored in excess in MHAP or for PO to be raised directly with Asian supplier</t>
  </si>
  <si>
    <t>HR Ops</t>
  </si>
  <si>
    <t>Forumh-BIPO error log tracking</t>
  </si>
  <si>
    <t>Daily integration error log - consolidating new errors that don’t already exist in tracker and tracking which of the existing errors are no longer flagged as error in the error log</t>
  </si>
  <si>
    <t>Forumh, BIPO, Excel</t>
  </si>
  <si>
    <t>15 hours/month</t>
  </si>
  <si>
    <t>Siu Ting</t>
  </si>
  <si>
    <t>Extract all PDF / scanned info from MHCS PO (which Chen Wei failed earlier cos he mentioned some are under Scanned copy)</t>
  </si>
  <si>
    <t>2 -3 hour weekly</t>
  </si>
  <si>
    <t xml:space="preserve">Extract invoice detail from PDF, Using invoice detail from excel file to populate "PO creation in SAP" </t>
  </si>
  <si>
    <t>Supply Chain (RCoE C&amp;L)</t>
  </si>
  <si>
    <t>MY Duty Validation</t>
  </si>
  <si>
    <t>Validate payable duty amount in Import Declaration PDF and Supporting Documents PDF against internal Excel Calculation</t>
  </si>
  <si>
    <t>Excel, Python</t>
  </si>
  <si>
    <t>Before Python
28 declarations per month / 30 min per declaration / 
14 hr per month
After Python
28 min per declaration / 
13hr 4 mins per month</t>
  </si>
  <si>
    <t>Denzel / Jasmine</t>
  </si>
  <si>
    <t>1) Validate product number and quantity in Picking List PDF against internal Excel list
2) Extract product number and quantity in Picking List PDF into internal Excel Calculation (Python)
3) Extract product price in Supporting Documents PDF (scanned) to internal Excel Calculation to calculate 8 duty amounts
4) Validate 8 duty amounts, exporter address, and 6 product descriptions between the Import Declaration PDF and internal Excel Calculation</t>
  </si>
  <si>
    <t>2) Completed
The rest New</t>
  </si>
  <si>
    <t>Highlighting to-be SLOBs</t>
  </si>
  <si>
    <t>Notifying POSM product owners when their stocks could be turning into slow-moving stocks</t>
  </si>
  <si>
    <t>SAP, Excel (for agency locations)</t>
  </si>
  <si>
    <t>6 to 11 hours a month if analysis is done on all POSM inventory in all APAC plants, and email triggers are generated by the planner manually</t>
  </si>
  <si>
    <t>-Reading all inbound and outbound data of POSMs in all APAC POSM plants as well as agency locations (data provided manually by Excel unless we can have EDI to agency location)
-Monthly notification/trigger from system when POSM stocks are reaching SLOB status
-Individual process owners in APAC can then react accordingly by utilising stocks, writing off or re-purposing items regularly
-Upgrade from a quarterly manual trigger which doesn't catch to-be SLOBs</t>
  </si>
  <si>
    <t>Streamline the DM replenishment process</t>
  </si>
  <si>
    <t>Excel , SAP</t>
  </si>
  <si>
    <t>2 hours weekly</t>
  </si>
  <si>
    <t>Streamline the entire DM replenishment process to smooth the extraction of information from 
-IDR extraction
-Compiling of IDR / DM required into DM request file (MHCS / HY / Winery)
-Eventually send these info to Serene for Generation of SubPR (propose using RPA)</t>
  </si>
  <si>
    <t>ICR letters checking</t>
  </si>
  <si>
    <t xml:space="preserve">Global team will use the final approved excel sheet to generate ICR letter.  The letter shared would be in PDF format with different format (merit increase &amp; bonus, bonus only, promotion, need performance improvement plan).   
JP language letter checking is needed as well.
Could agentic AI helps to check the letter against letter template;
figure in final excel sheet;
date of employee with mid year movement/ new hire during the year against movement excel file
</t>
  </si>
  <si>
    <t>Excel, PDF</t>
  </si>
  <si>
    <t>92 hours per year</t>
  </si>
  <si>
    <t>Jia Yi</t>
  </si>
  <si>
    <t>Subject to AI tool's capability to manage confidential info</t>
  </si>
  <si>
    <t> LVMH Annual Reporting</t>
  </si>
  <si>
    <t> The Market HR team will update the Social Report workbook in Excel with the latest data. This data will then be migrated from the Excel workbook into the LVMH Talent Connect Annual Reporting Portal</t>
  </si>
  <si>
    <t> LVMH Talent Connect Annual Reporting Portal, Excel</t>
  </si>
  <si>
    <t> 10 hours per market, total: 70</t>
  </si>
  <si>
    <t>Joon Chiat</t>
  </si>
  <si>
    <t>Daily invoices population</t>
  </si>
  <si>
    <t>To extract, extract and distribute daily invoices process from market and Maisons into respective folders and send email to CS</t>
  </si>
  <si>
    <t xml:space="preserve">Python takes 90% of the entire process where last 10% is based on PowerAutomate by IT Proximity (Roy) </t>
  </si>
  <si>
    <t>300 invoices
4 hours daily
after python 10 min daily</t>
  </si>
  <si>
    <t xml:space="preserve">Keith </t>
  </si>
  <si>
    <t>Automation of daily invoices process
a) compiling the invoices from Maison for shipments to MHAP and direct markets -dissect them using Python into different Maisons / Product types / countries and company 
b) sent these segregated invoices into different folders under Maisons / Product type and countries  
c) sent out email notifications</t>
  </si>
  <si>
    <t>Completed</t>
  </si>
  <si>
    <t>KR Duty Validation</t>
  </si>
  <si>
    <t>Validate payable duty amount in Import Declaration PDF against internal Excel Calculation and Shipment List Excel</t>
  </si>
  <si>
    <t>25 declarations per month / 12 min per declaration / 
5 hr per month</t>
  </si>
  <si>
    <t>Jason Lee</t>
  </si>
  <si>
    <t>1) Extract product number from Import Declaration PDF into internal Excel Calculation (Python)
2) Validate 4 duty percentages and amounts between Import Declaration PDF and Excel:
a) Tariff duty percentage based on 4 text categories in internal Excel Table (liquor type, country, transport mode, product brand name). Existence of CNM (Certificate of non-manipulation) and Inbound Documents are checked separately.
b) Education, VAT (Value-added Tax) and Liquor duty percentage and amounts based on internal Excel Calculation 
Validate product price between Import Declaration PDF and Excel Calculation based on shipment arrival year
a) Alphanumeric shipment identification code (B/L no.) in Import Declaration PDF is searched in Shipment List Excel to find arrival year
b) If arrival year is in current year, validate product price in Import Declaration PDF against internal Excel Calculation
If arrival year is before current year, validate product price in Import Declaration PDF against Shipment List Excel</t>
  </si>
  <si>
    <t>1) Completed
The rest New</t>
  </si>
  <si>
    <t>HC report preparation</t>
  </si>
  <si>
    <t>Consolidating HC report from multiple source files to track movements and employees list.</t>
  </si>
  <si>
    <t>Forumh, Excel</t>
  </si>
  <si>
    <t>4 hours/month</t>
  </si>
  <si>
    <t>Enhance QIBK reporting</t>
  </si>
  <si>
    <t>Dashboard for QIBK for planners / stakeholders</t>
  </si>
  <si>
    <t>3 hours per month</t>
  </si>
  <si>
    <t>Mandy</t>
  </si>
  <si>
    <t>1. Do stock analaysis based on last month file vs this month and provide data on what are the new added SKUS. 
2. Dashboard / Power BI for QIBK for stakeholders and send notification email</t>
  </si>
  <si>
    <t>TH Duty Validation</t>
  </si>
  <si>
    <t>Validate details from Customs Form PDF against Invoice PDF, Packing List PDF, internal Master Data Excel</t>
  </si>
  <si>
    <t>4 declarations per month / 42.5 min per declaration / 
2hr 50 min per month</t>
  </si>
  <si>
    <t>Phoebe</t>
  </si>
  <si>
    <t>Validate information between Customs Form PDF and 2 PDFs and 1 Excel
a) Invoice PDF - quantity, weight, country
b) Packing List PDF - weight, country
c) Internal Master Data Excel - item description, product brand text, total duty amount, volume and quantity, classification number. Alcohol category is extracted from Customs Form PDF, translated from Thai to English, then validated against internal Master Data Excel</t>
  </si>
  <si>
    <t>Consolidation of Carrier invoices</t>
  </si>
  <si>
    <t>Consolidate Carrier invoices for FG from generic mailbox to folder</t>
  </si>
  <si>
    <t>300 invoices per month
8min per day
160mins per Month</t>
  </si>
  <si>
    <t>To extract and send all Carrier invoices from generic mailbox to sub folders in sharedrive</t>
  </si>
  <si>
    <t>Conflict of Interest</t>
  </si>
  <si>
    <t> Send COI form to employees, consolidate numbers of declarations, filter positive declarations and copy paste responses to COI form. Email declaration review to employees</t>
  </si>
  <si>
    <t>Outlook, Docusign, Excel</t>
  </si>
  <si>
    <t> 28 work hours</t>
  </si>
  <si>
    <t>Afi</t>
  </si>
  <si>
    <t>PO Population</t>
  </si>
  <si>
    <t>Extract DM invoice detail from PDF and do DM Service PO creation</t>
  </si>
  <si>
    <t>Python and SAP</t>
  </si>
  <si>
    <t>2 -3 hour weekly after python  20  min weekly</t>
  </si>
  <si>
    <t>Purpose is to Extract invoice detail from PDF, Using invoice detail from excel file to populate ME21N fields, including SKU,QTY,Supplier,Batch and date</t>
  </si>
  <si>
    <t xml:space="preserve">Validate the Shopify </t>
  </si>
  <si>
    <t xml:space="preserve">Do the 1st screen and validation of shopify  </t>
  </si>
  <si>
    <t>shopify</t>
  </si>
  <si>
    <t>3 hours per month X 8 times a year</t>
  </si>
  <si>
    <t>Program a set of criterias to check on 1) if any duplicate orders under same customers 2) any high vol of Prestige stocks 3) alert Ops on low inventory 4) auto archive for those Out of stocks 4) any wrong address (eg no postal code / send to office) to inform customer direct</t>
  </si>
  <si>
    <t>VN Duty Validation</t>
  </si>
  <si>
    <t>Validate details in Customs Form Excel against B/L, Invoice, COO PDF, and then internal Master Data Excel and Excel Calculation</t>
  </si>
  <si>
    <t>3 declarations per month / 40 min per declaration / 
2hr / month</t>
  </si>
  <si>
    <t xml:space="preserve">Extract date, permit number, and invoice number from Customs Form Excel to internal Excel Calculation
Validate information between Customs Form Excel and 4 PDFs and 2 Excels
1) B/L PDF - alphanumeric shipment identification code (B/L no.) and date
2) Invoice PDF - country, quantity, 2 product descriptions. 1 of the product descriptions in the Customs Form Excel to be translated from Vietnamese to English
3) Arrival Notice PDF - Date, Vessel Name
4) Delivery Note PDF - If item is in Delivery Note PDF, it can benefit from EVFTA
5) Internal HS code Excel - classification number
6) Internal Excel Calculation - 3 duty amounts
</t>
  </si>
  <si>
    <t>HC validation</t>
  </si>
  <si>
    <t>Comparing HC numbers integrated into system against manually consolidated excel report to check for discrepancy</t>
  </si>
  <si>
    <t>ADP, Excel</t>
  </si>
  <si>
    <t>2 hours/month</t>
  </si>
  <si>
    <t>HC Evolution report</t>
  </si>
  <si>
    <t>Breakdown employee list based on different market, LVMH HReporting, Topaz responsibility &amp; HC for payroll to compare against budget</t>
  </si>
  <si>
    <t>Supply Chain (Copacking)</t>
  </si>
  <si>
    <t>VAS quotation validation</t>
  </si>
  <si>
    <t>To validate the Quotation of Maersk raised for each VAS job</t>
  </si>
  <si>
    <t>20 quotation per month / 5 min per quotation</t>
  </si>
  <si>
    <t>Lynn</t>
  </si>
  <si>
    <t>Based on Excel quotation step description, extract the rate from contract and make comparsion</t>
  </si>
  <si>
    <t>TW Duty Validation</t>
  </si>
  <si>
    <t>Validate payable duty amount in Import Declaration PDF against Shipment Tracking Excel and internal Excel Calculation</t>
  </si>
  <si>
    <t>Before Python
5 declaration per month / 30 min per declaration / 
2hr 30 min per month
After Python
20 min per declaration /
1 hr 40 min per month</t>
  </si>
  <si>
    <t>1) Extract alphanumeric document number, product number, and quantity from Import Declaration PDF and Shipment Tracking Excel into internal Excel Calculation to calculate 7 duty amounts (Python)
2) Validate 7 duty amounts between Import Declaration PDF and internal Excel Calculation</t>
  </si>
  <si>
    <t>1) Completed
2) New</t>
  </si>
  <si>
    <t>MY Customs Form Extraction</t>
  </si>
  <si>
    <t>Extract information from 4 different types of Import Declarations PDFs (K1, K9, K8, ZB1) uploaded in SharePoint</t>
  </si>
  <si>
    <t>1 min per file / 80 files per month / 
1 hr 20min per month</t>
  </si>
  <si>
    <t>Extract different information (dates, numbers, alphanumeric codes, and amounts) from different types of Import Declaration PDFs (scanned) into Excel:
a) Common information (dates, document numbers) are extracted from all declaration types
b) Different information to be extracted from each declaration type (Sea - container code; Air - flight code; Duty Declaration - duty amounts)</t>
  </si>
  <si>
    <t>Ateis scanning cost validation</t>
  </si>
  <si>
    <t>To valdate monthly Ateis scanning cost</t>
  </si>
  <si>
    <t>1 hour / per month</t>
  </si>
  <si>
    <t>1. Extract scanning transaction from SAP. 
Tabulate scanning cost  of SAP extraction and compare against Maersk excel file. 
2.Extract completed volume from Weekly schedule file (excel) and compare aganist Maersk excel file</t>
  </si>
  <si>
    <t>??</t>
  </si>
  <si>
    <t>KR Duty Validation (POSM)</t>
  </si>
  <si>
    <t>Validate payable duty percentage in Import Declaration PDF against Online Tariff Lookup Tool for POSM (Advertising Material)</t>
  </si>
  <si>
    <t>Excel, Online Webpage</t>
  </si>
  <si>
    <t>5 declarations per month / 12 min per declaration /
1 hr per month</t>
  </si>
  <si>
    <t>Validate 2 types of duty percentages between Import Declaration PDF and Online Dynamic Webpage (Online Korean Tariff Lookup Tool) based on 2 criteria:
a) Classification number (HS code)
b) Country</t>
  </si>
  <si>
    <t>Carrier Invoices</t>
  </si>
  <si>
    <t>Auto Extraction of billing information from Hapag Lloyd</t>
  </si>
  <si>
    <t>Python</t>
  </si>
  <si>
    <t>2 hour weekly after python 10min weekly</t>
  </si>
  <si>
    <t>Auto Extraction of billing information from Hapag Lloyd from PDF using Python and copy them into Invoices summary file for invoices processing</t>
  </si>
  <si>
    <t>VN Delivery Note Validation</t>
  </si>
  <si>
    <t>Validate Customs Form PDF against Invoice PDF and Delivery Note PDF</t>
  </si>
  <si>
    <t>9 declarations per month / 4 min per declaration /
36 min per month</t>
  </si>
  <si>
    <t xml:space="preserve">Validate product description and quantity between Invoice PDF and Delivery Note PDF </t>
  </si>
  <si>
    <t>TW Harbour Service Fee Validation</t>
  </si>
  <si>
    <t>Validate payable amount in Harbour Service Fee PDF from BWI (name of appointed Customs Broker) against internal Excel Calculation</t>
  </si>
  <si>
    <t>10 min per file / 3 files per month /
30 min per month</t>
  </si>
  <si>
    <t>Extract amount and document number from Harbour Service Fee PDF into Excel Calculation</t>
  </si>
  <si>
    <t>MY Duty Validation (POSM)</t>
  </si>
  <si>
    <t>Validate payable duty amount in Import Declaration PDF against Invoice, Online Tariff Lookup Tool, and internal Excel Calculation for POSM (Advertising Material)</t>
  </si>
  <si>
    <t>1 declaration per month / 30 min per declaration 
30 min per month</t>
  </si>
  <si>
    <t>1) Extract product number, quantity, product price, product description and order number in Invoice PDF into internal Excel Calculation
2) Extract 2 duty percentages based on classification number from Online Dynamic Webpage (Online Malaysian Tariff Lookup Tool) into internal Excel Calculation
3) Validate 2 duty values and 2 duty percentages between Import Declaration PDF and internal Excel Calculation</t>
  </si>
  <si>
    <t>TH RSP Extraction</t>
  </si>
  <si>
    <t>Extract product prices from RSP (Retail Selling Price) PDF into internal Excel</t>
  </si>
  <si>
    <t>Before Python
2hr per month
After Python
10 min per month</t>
  </si>
  <si>
    <t>1) Extract multiple information from RSP PDF (scanned) license number, product number, 28 digit, alcohol percentage, product price to Excel (Python)
2) Copy over the data from to internal Excel File and reformat</t>
  </si>
  <si>
    <t>1) Complete
The rest New</t>
  </si>
  <si>
    <t>TW Handling Fee Validation</t>
  </si>
  <si>
    <t>Validate payable amount in Handling Fee PDF against internal Excel Calculation</t>
  </si>
  <si>
    <t>1 file (20 pages) per month / 10 min per file /
10 min per month</t>
  </si>
  <si>
    <t>Validate amount between Handling Fee PDF (scanned) and internal Excel Calculation</t>
  </si>
  <si>
    <t>Source System</t>
  </si>
  <si>
    <t>Target System</t>
  </si>
  <si>
    <t>Field Extraction</t>
  </si>
  <si>
    <t>Expected Final Result</t>
  </si>
  <si>
    <t>Automation / AI Capabilities</t>
  </si>
  <si>
    <t>Data &amp; Compliance Risk</t>
  </si>
  <si>
    <t>Process Stability</t>
  </si>
  <si>
    <t>Example:
PDF embedded in an email
SQL database
SAP database
or other upstream systems</t>
  </si>
  <si>
    <t>Example:
SAP Finance Module
Excel payment file
or other downstream systems</t>
  </si>
  <si>
    <t>Example:
Full line-item details from the PDF
The table with numbers
Images or embedded pictures
Total amount only (numbers) 
or specific field extraction</t>
  </si>
  <si>
    <t>Example: 
Excel file with table and numeric values
Excel file including images and multi-tab connections
Clean SAP data from the outlier</t>
  </si>
  <si>
    <t>Example: 
Extraction
SKU Mapping</t>
  </si>
  <si>
    <t>Example: 
Whether the data includes sensitive or confidential information
Pricing or commercial details
Internal sensitive data</t>
  </si>
  <si>
    <t>Example: 
Whether the process is stable over time
Frequent changes in invoice templates
Variations in carrier formats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</si>
</sst>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x14ac:knownFonts="1">
    <font>
      <sz val="11"/>
      <color theme="1"/>
      <name val="Calibri"/>
      <scheme val="minor"/>
    </font>
    <font>
      <sz val="11"/>
      <color theme="1"/>
      <name val="Calibri"/>
      <family val="2"/>
    </font>
    <font>
      <b/>
      <sz val="11"/>
      <color theme="1"/>
      <name val="Calibri"/>
      <family val="2"/>
    </font>
    <font>
      <b/>
      <sz val="11"/>
      <color rgb="FFFFFFFF"/>
      <name val="Calibri"/>
      <family val="2"/>
    </font>
    <font>
      <b/>
      <sz val="11"/>
      <color rgb="FF434343"/>
      <name val="Calibri"/>
      <family val="2"/>
    </font>
    <font>
      <sz val="11"/>
      <color rgb="FF434343"/>
      <name val="Calibri"/>
      <family val="2"/>
    </font>
    <font>
      <sz val="11"/>
      <color theme="1"/>
      <name val="Arial"/>
      <family val="2"/>
    </font>
    <font>
      <sz val="11"/>
      <color rgb="FF000000"/>
      <name val="Calibri"/>
      <family val="2"/>
    </font>
    <font>
      <b/>
      <sz val="11"/>
      <color theme="1"/>
      <name val="Calibri"/>
      <family val="2"/>
    </font>
  </fonts>
  <fills count="5">
    <fill>
      <patternFill patternType="none"/>
    </fill>
    <fill>
      <patternFill patternType="gray125"/>
    </fill>
    <fill>
      <patternFill patternType="solid">
        <fgColor rgb="FF990000"/>
        <bgColor rgb="FF990000"/>
      </patternFill>
    </fill>
    <fill>
      <patternFill patternType="solid">
        <fgColor rgb="FFFFFFFF"/>
        <bgColor rgb="FFFFFFFF"/>
      </patternFill>
    </fill>
    <fill>
      <patternFill patternType="solid">
        <fgColor rgb="FFF6F8F9"/>
        <bgColor rgb="FFF6F8F9"/>
      </patternFill>
    </fill>
  </fills>
  <borders count="8">
    <border>
      <left/>
      <right/>
      <top/>
      <bottom/>
      <diagonal/>
    </border>
    <border>
      <left style="thin">
        <color rgb="FF990000"/>
      </left>
      <right style="thin">
        <color rgb="FF990000"/>
      </right>
      <top style="thin">
        <color rgb="FF284E3F"/>
      </top>
      <bottom style="thin">
        <color rgb="FF284E3F"/>
      </bottom>
      <diagonal/>
    </border>
    <border>
      <left style="thin">
        <color rgb="FF284E3F"/>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284E3F"/>
      </left>
      <right style="thin">
        <color rgb="FFF6F8F9"/>
      </right>
      <top style="thin">
        <color rgb="FFF6F8F9"/>
      </top>
      <bottom style="thin">
        <color rgb="FFF6F8F9"/>
      </bottom>
      <diagonal/>
    </border>
    <border>
      <left style="thin">
        <color rgb="FFF6F8F9"/>
      </left>
      <right style="thin">
        <color rgb="FFF6F8F9"/>
      </right>
      <top style="thin">
        <color rgb="FFF6F8F9"/>
      </top>
      <bottom style="thin">
        <color rgb="FFF6F8F9"/>
      </bottom>
      <diagonal/>
    </border>
    <border>
      <left style="thin">
        <color rgb="FF284E3F"/>
      </left>
      <right style="thin">
        <color rgb="FFFFFFFF"/>
      </right>
      <top style="thin">
        <color rgb="FFFFFFFF"/>
      </top>
      <bottom style="thin">
        <color rgb="FF284E3F"/>
      </bottom>
      <diagonal/>
    </border>
    <border>
      <left style="thin">
        <color rgb="FFFFFFFF"/>
      </left>
      <right style="thin">
        <color rgb="FFFFFFFF"/>
      </right>
      <top style="thin">
        <color rgb="FFFFFFFF"/>
      </top>
      <bottom style="thin">
        <color rgb="FF284E3F"/>
      </bottom>
      <diagonal/>
    </border>
  </borders>
  <cellStyleXfs count="1">
    <xf numFmtId="0" fontId="0" fillId="0" borderId="0"/>
  </cellStyleXfs>
  <cellXfs count="32">
    <xf numFmtId="0" fontId="0" fillId="0" borderId="0" xfId="0"/>
    <xf numFmtId="0" fontId="2" fillId="0" borderId="0" xfId="0" applyFont="1" applyAlignment="1">
      <alignment horizontal="left" vertical="center" wrapText="1"/>
    </xf>
    <xf numFmtId="4" fontId="2" fillId="0" borderId="0" xfId="0" applyNumberFormat="1" applyFont="1" applyAlignment="1">
      <alignment horizontal="left" vertical="center" wrapText="1"/>
    </xf>
    <xf numFmtId="0" fontId="3" fillId="2" borderId="1" xfId="0" applyFont="1" applyFill="1" applyBorder="1" applyAlignment="1">
      <alignment horizontal="center" vertical="center" wrapText="1"/>
    </xf>
    <xf numFmtId="0" fontId="3" fillId="2" borderId="0" xfId="0" applyFont="1" applyFill="1" applyAlignment="1">
      <alignment horizontal="center" vertical="center" wrapText="1"/>
    </xf>
    <xf numFmtId="0" fontId="2" fillId="2" borderId="0" xfId="0" applyFont="1" applyFill="1" applyAlignment="1">
      <alignment horizontal="center" vertical="center" wrapText="1"/>
    </xf>
    <xf numFmtId="0" fontId="4" fillId="3" borderId="2" xfId="0" applyFont="1" applyFill="1" applyBorder="1" applyAlignment="1">
      <alignment vertical="center" wrapText="1"/>
    </xf>
    <xf numFmtId="0" fontId="5" fillId="3" borderId="3" xfId="0" applyFont="1" applyFill="1" applyBorder="1" applyAlignment="1">
      <alignment vertical="center" wrapText="1"/>
    </xf>
    <xf numFmtId="3" fontId="5" fillId="3" borderId="3" xfId="0" applyNumberFormat="1" applyFont="1" applyFill="1" applyBorder="1" applyAlignment="1">
      <alignment horizontal="right" vertical="center" wrapText="1"/>
    </xf>
    <xf numFmtId="0" fontId="5" fillId="3" borderId="3" xfId="0" applyFont="1" applyFill="1" applyBorder="1" applyAlignment="1">
      <alignment horizontal="right" vertical="center" wrapText="1"/>
    </xf>
    <xf numFmtId="0" fontId="6" fillId="3" borderId="3" xfId="0" applyFont="1" applyFill="1" applyBorder="1" applyAlignment="1">
      <alignment vertical="center" wrapText="1"/>
    </xf>
    <xf numFmtId="0" fontId="1" fillId="3" borderId="3" xfId="0" applyFont="1" applyFill="1" applyBorder="1" applyAlignment="1">
      <alignment vertical="center" wrapText="1"/>
    </xf>
    <xf numFmtId="0" fontId="1" fillId="3" borderId="0" xfId="0" applyFont="1" applyFill="1" applyAlignment="1">
      <alignment vertical="center" wrapText="1"/>
    </xf>
    <xf numFmtId="0" fontId="7" fillId="0" borderId="0" xfId="0" applyFont="1" applyAlignment="1">
      <alignment vertical="center" wrapText="1"/>
    </xf>
    <xf numFmtId="0" fontId="4" fillId="4" borderId="4" xfId="0" applyFont="1" applyFill="1" applyBorder="1" applyAlignment="1">
      <alignment vertical="center" wrapText="1"/>
    </xf>
    <xf numFmtId="0" fontId="5" fillId="4" borderId="5" xfId="0" applyFont="1" applyFill="1" applyBorder="1" applyAlignment="1">
      <alignment vertical="center" wrapText="1"/>
    </xf>
    <xf numFmtId="3" fontId="5" fillId="4" borderId="5" xfId="0" applyNumberFormat="1" applyFont="1" applyFill="1" applyBorder="1" applyAlignment="1">
      <alignment horizontal="right" vertical="center" wrapText="1"/>
    </xf>
    <xf numFmtId="0" fontId="5" fillId="4" borderId="5" xfId="0" applyFont="1" applyFill="1" applyBorder="1" applyAlignment="1">
      <alignment horizontal="right" vertical="center" wrapText="1"/>
    </xf>
    <xf numFmtId="0" fontId="6" fillId="4" borderId="5" xfId="0" applyFont="1" applyFill="1" applyBorder="1" applyAlignment="1">
      <alignment vertical="center" wrapText="1"/>
    </xf>
    <xf numFmtId="0" fontId="6" fillId="4" borderId="0" xfId="0" applyFont="1" applyFill="1" applyAlignment="1">
      <alignment vertical="center" wrapText="1"/>
    </xf>
    <xf numFmtId="0" fontId="6" fillId="3" borderId="0" xfId="0" applyFont="1" applyFill="1" applyAlignment="1">
      <alignment vertical="center" wrapText="1"/>
    </xf>
    <xf numFmtId="3" fontId="6" fillId="4" borderId="5" xfId="0" applyNumberFormat="1" applyFont="1" applyFill="1" applyBorder="1" applyAlignment="1">
      <alignment vertical="center" wrapText="1"/>
    </xf>
    <xf numFmtId="3" fontId="6" fillId="3" borderId="3" xfId="0" applyNumberFormat="1" applyFont="1" applyFill="1" applyBorder="1" applyAlignment="1">
      <alignment vertical="center" wrapText="1"/>
    </xf>
    <xf numFmtId="0" fontId="4" fillId="3" borderId="6" xfId="0" applyFont="1" applyFill="1" applyBorder="1" applyAlignment="1">
      <alignment vertical="center" wrapText="1"/>
    </xf>
    <xf numFmtId="0" fontId="5" fillId="3" borderId="7" xfId="0" applyFont="1" applyFill="1" applyBorder="1" applyAlignment="1">
      <alignment vertical="center" wrapText="1"/>
    </xf>
    <xf numFmtId="3" fontId="5" fillId="3" borderId="7" xfId="0" applyNumberFormat="1" applyFont="1" applyFill="1" applyBorder="1" applyAlignment="1">
      <alignment horizontal="right" vertical="center" wrapText="1"/>
    </xf>
    <xf numFmtId="0" fontId="5" fillId="3" borderId="7" xfId="0" applyFont="1" applyFill="1" applyBorder="1" applyAlignment="1">
      <alignment horizontal="right" vertical="center" wrapText="1"/>
    </xf>
    <xf numFmtId="0" fontId="6" fillId="3" borderId="7" xfId="0" applyFont="1" applyFill="1" applyBorder="1" applyAlignment="1">
      <alignment vertical="center" wrapText="1"/>
    </xf>
    <xf numFmtId="0" fontId="1" fillId="4" borderId="5" xfId="0" applyFont="1" applyFill="1" applyBorder="1" applyAlignment="1">
      <alignment vertical="center" wrapText="1"/>
    </xf>
    <xf numFmtId="0" fontId="1" fillId="4" borderId="0" xfId="0" applyFont="1" applyFill="1" applyAlignment="1">
      <alignment vertical="center" wrapText="1"/>
    </xf>
    <xf numFmtId="0" fontId="1" fillId="3" borderId="7" xfId="0" applyFont="1" applyFill="1" applyBorder="1" applyAlignment="1">
      <alignment vertical="center" wrapText="1"/>
    </xf>
    <xf numFmtId="0" fontId="8" fillId="0" borderId="0" xfId="0" applyFont="1" applyAlignment="1">
      <alignment horizontal="left" vertical="center" wrapText="1"/>
    </xf>
  </cellXfs>
  <cellStyles count="1">
    <cellStyle name="Normal" xfId="0" builtinId="0"/>
  </cellStyles>
  <dxfs count="33">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2">
    <tableStyle name="Additional Attribute-style" pivot="0" count="4" xr9:uid="{00000000-0011-0000-FFFF-FFFF00000000}">
      <tableStyleElement type="wholeTable" size="0" dxfId="32"/>
      <tableStyleElement type="headerRow" dxfId="31"/>
      <tableStyleElement type="firstRowStripe" dxfId="30"/>
      <tableStyleElement type="secondRowStripe" dxfId="29"/>
    </tableStyle>
    <tableStyle name="Copy of Additional Attribute-style" pivot="0" count="4" xr9:uid="{00000000-0011-0000-FFFF-FFFF01000000}">
      <tableStyleElement type="wholeTable" size="0" dxfId="28"/>
      <tableStyleElement type="headerRow" dxfId="27"/>
      <tableStyleElement type="firstRowStripe" dxfId="26"/>
      <tableStyleElement type="secondRowStripe" dxfId="2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12" Type="http://schemas.openxmlformats.org/officeDocument/2006/relationships/theme" Target="theme/theme1.xml"/><Relationship Id="rId1" Type="http://schemas.openxmlformats.org/officeDocument/2006/relationships/worksheet" Target="worksheets/sheet1.xml"/><Relationship Id="rId11" Type="http://customschemas.google.com/relationships/workbookmetadata" Target="metadata"/><Relationship Id="rId15" Type="http://schemas.openxmlformats.org/officeDocument/2006/relationships/calcChain" Target="calcChain.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X42" dataDxfId="24">
  <tableColumns count="24">
    <tableColumn id="1" xr3:uid="{00000000-0010-0000-0000-000001000000}" name="Department" dataDxfId="23"/>
    <tableColumn id="2" xr3:uid="{00000000-0010-0000-0000-000002000000}" name="Topic" dataDxfId="22"/>
    <tableColumn id="3" xr3:uid="{00000000-0010-0000-0000-000003000000}" name="Description" dataDxfId="21"/>
    <tableColumn id="4" xr3:uid="{00000000-0010-0000-0000-000004000000}" name="Application Involved" dataDxfId="20"/>
    <tableColumn id="5" xr3:uid="{00000000-0010-0000-0000-000005000000}" name="Human effort (per month or per year)" dataDxfId="19"/>
    <tableColumn id="6" xr3:uid="{00000000-0010-0000-0000-000006000000}" name="PS owner" dataDxfId="18"/>
    <tableColumn id="7" xr3:uid="{00000000-0010-0000-0000-000007000000}" name="Remarks" dataDxfId="17"/>
    <tableColumn id="8" xr3:uid="{00000000-0010-0000-0000-000008000000}" name="Status " dataDxfId="16"/>
    <tableColumn id="9" xr3:uid="{00000000-0010-0000-0000-000009000000}" name="Priority" dataDxfId="15"/>
    <tableColumn id="10" xr3:uid="{00000000-0010-0000-0000-00000A000000}" name="Type" dataDxfId="14"/>
    <tableColumn id="11" xr3:uid="{00000000-0010-0000-0000-00000B000000}" name="1 Level Categorization" dataDxfId="13"/>
    <tableColumn id="12" xr3:uid="{00000000-0010-0000-0000-00000C000000}" name="2 Level Categorization" dataDxfId="12"/>
    <tableColumn id="13" xr3:uid="{00000000-0010-0000-0000-00000D000000}" name="Benefit / Savings (hrs / year)" dataDxfId="11"/>
    <tableColumn id="14" xr3:uid="{00000000-0010-0000-0000-00000E000000}" name="daily" dataDxfId="10"/>
    <tableColumn id="15" xr3:uid="{00000000-0010-0000-0000-00000F000000}" name="weekly" dataDxfId="9"/>
    <tableColumn id="16" xr3:uid="{00000000-0010-0000-0000-000010000000}" name="yearly" dataDxfId="8"/>
    <tableColumn id="17" xr3:uid="{00000000-0010-0000-0000-000011000000}" name="monthly" dataDxfId="7"/>
    <tableColumn id="18" xr3:uid="{00000000-0010-0000-0000-000012000000}" name="Source System" dataDxfId="6"/>
    <tableColumn id="19" xr3:uid="{00000000-0010-0000-0000-000013000000}" name="Target System" dataDxfId="5"/>
    <tableColumn id="20" xr3:uid="{00000000-0010-0000-0000-000014000000}" name="Field Extraction" dataDxfId="4"/>
    <tableColumn id="21" xr3:uid="{00000000-0010-0000-0000-000015000000}" name="Expected Final Result" dataDxfId="3"/>
    <tableColumn id="22" xr3:uid="{00000000-0010-0000-0000-000016000000}" name="Automation / AI Capabilities" dataDxfId="2"/>
    <tableColumn id="23" xr3:uid="{00000000-0010-0000-0000-000017000000}" name="Data &amp; Compliance Risk" dataDxfId="1"/>
    <tableColumn id="24" xr3:uid="{00000000-0010-0000-0000-000018000000}" name="Process Stability" dataDxfId="0"/>
  </tableColumns>
  <tableStyleInfo name="Additional Attribute-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X42"/>
  <sheetViews>
    <sheetView tabSelected="1" topLeftCell="G1" workbookViewId="0">
      <pane ySplit="1" topLeftCell="A2" activePane="bottomLeft" state="frozen"/>
      <selection pane="bottomLeft" activeCell="J6" sqref="J6"/>
    </sheetView>
  </sheetViews>
  <sheetFormatPr baseColWidth="10" defaultColWidth="14.5" defaultRowHeight="15" customHeight="1" x14ac:dyDescent="0.2"/>
  <cols>
    <col min="2" max="2" width="27.5" customWidth="1"/>
    <col min="3" max="3" width="59.33203125" customWidth="1"/>
    <col min="4" max="4" width="45.83203125" customWidth="1"/>
    <col min="5" max="5" width="50.5" customWidth="1"/>
    <col min="7" max="7" width="61.5" customWidth="1"/>
    <col min="10" max="10" width="19.5" customWidth="1"/>
    <col min="11" max="11" width="26.6640625" customWidth="1"/>
    <col min="12" max="12" width="28.5" customWidth="1"/>
    <col min="18" max="20" width="33.1640625" customWidth="1"/>
    <col min="21" max="21" width="32.5" customWidth="1"/>
    <col min="22" max="22" width="46.33203125" customWidth="1"/>
    <col min="23" max="23" width="49.5" customWidth="1"/>
    <col min="24" max="24" width="33.5" customWidth="1"/>
  </cols>
  <sheetData>
    <row r="1" spans="1:24" ht="22.5" customHeight="1" x14ac:dyDescent="0.2">
      <c r="A1" s="1" t="s">
        <v>25</v>
      </c>
      <c r="B1" s="1" t="s">
        <v>26</v>
      </c>
      <c r="C1" s="31" t="s">
        <v>27</v>
      </c>
      <c r="D1" s="1" t="s">
        <v>28</v>
      </c>
      <c r="E1" s="1" t="s">
        <v>29</v>
      </c>
      <c r="F1" s="1" t="s">
        <v>30</v>
      </c>
      <c r="G1" s="1" t="s">
        <v>31</v>
      </c>
      <c r="H1" s="1" t="s">
        <v>32</v>
      </c>
      <c r="I1" s="2" t="s">
        <v>33</v>
      </c>
      <c r="J1" s="1" t="s">
        <v>0</v>
      </c>
      <c r="K1" s="1" t="s">
        <v>1</v>
      </c>
      <c r="L1" s="1" t="s">
        <v>2</v>
      </c>
      <c r="M1" s="1" t="s">
        <v>34</v>
      </c>
      <c r="N1" s="1" t="s">
        <v>35</v>
      </c>
      <c r="O1" s="1" t="s">
        <v>36</v>
      </c>
      <c r="P1" s="1" t="s">
        <v>37</v>
      </c>
      <c r="Q1" s="1" t="s">
        <v>38</v>
      </c>
      <c r="R1" s="3" t="s">
        <v>247</v>
      </c>
      <c r="S1" s="4" t="s">
        <v>248</v>
      </c>
      <c r="T1" s="4" t="s">
        <v>249</v>
      </c>
      <c r="U1" s="5" t="s">
        <v>250</v>
      </c>
      <c r="V1" s="5" t="s">
        <v>251</v>
      </c>
      <c r="W1" s="5" t="s">
        <v>252</v>
      </c>
      <c r="X1" s="5" t="s">
        <v>253</v>
      </c>
    </row>
    <row r="2" spans="1:24" ht="96" x14ac:dyDescent="0.2">
      <c r="A2" s="6" t="s">
        <v>39</v>
      </c>
      <c r="B2" s="7" t="s">
        <v>40</v>
      </c>
      <c r="C2" s="7" t="s">
        <v>41</v>
      </c>
      <c r="D2" s="7" t="s">
        <v>42</v>
      </c>
      <c r="E2" s="7" t="s">
        <v>43</v>
      </c>
      <c r="F2" s="7" t="s">
        <v>44</v>
      </c>
      <c r="G2" s="7" t="s">
        <v>45</v>
      </c>
      <c r="H2" s="7" t="s">
        <v>46</v>
      </c>
      <c r="I2" s="8">
        <v>1</v>
      </c>
      <c r="J2" s="7" t="s">
        <v>3</v>
      </c>
      <c r="K2" s="7" t="s">
        <v>11</v>
      </c>
      <c r="L2" s="7" t="s">
        <v>13</v>
      </c>
      <c r="M2" s="9">
        <f t="shared" ref="M2:M42" si="0">N2*365+O2*52+P2+Q2*12</f>
        <v>1095</v>
      </c>
      <c r="N2" s="9">
        <v>3</v>
      </c>
      <c r="O2" s="10"/>
      <c r="P2" s="10"/>
      <c r="Q2" s="10"/>
      <c r="R2" s="11" t="s">
        <v>254</v>
      </c>
      <c r="S2" s="12" t="s">
        <v>255</v>
      </c>
      <c r="T2" s="12" t="s">
        <v>256</v>
      </c>
      <c r="U2" s="13" t="s">
        <v>257</v>
      </c>
      <c r="V2" s="13" t="s">
        <v>258</v>
      </c>
      <c r="W2" s="13" t="s">
        <v>259</v>
      </c>
      <c r="X2" s="13" t="s">
        <v>260</v>
      </c>
    </row>
    <row r="3" spans="1:24" ht="80" x14ac:dyDescent="0.2">
      <c r="A3" s="14" t="s">
        <v>47</v>
      </c>
      <c r="B3" s="15" t="s">
        <v>48</v>
      </c>
      <c r="C3" s="15" t="s">
        <v>49</v>
      </c>
      <c r="D3" s="15" t="s">
        <v>50</v>
      </c>
      <c r="E3" s="15" t="s">
        <v>51</v>
      </c>
      <c r="F3" s="15" t="s">
        <v>52</v>
      </c>
      <c r="G3" s="15" t="s">
        <v>53</v>
      </c>
      <c r="H3" s="15" t="s">
        <v>46</v>
      </c>
      <c r="I3" s="16">
        <v>6</v>
      </c>
      <c r="J3" s="15" t="s">
        <v>14</v>
      </c>
      <c r="K3" s="15" t="s">
        <v>20</v>
      </c>
      <c r="L3" s="15" t="s">
        <v>21</v>
      </c>
      <c r="M3" s="17">
        <f t="shared" si="0"/>
        <v>730</v>
      </c>
      <c r="N3" s="17">
        <v>2</v>
      </c>
      <c r="O3" s="18"/>
      <c r="P3" s="18"/>
      <c r="Q3" s="18"/>
      <c r="R3" s="28"/>
      <c r="S3" s="29"/>
      <c r="T3" s="29"/>
      <c r="U3" s="13"/>
      <c r="V3" s="13"/>
      <c r="W3" s="13"/>
      <c r="X3" s="13"/>
    </row>
    <row r="4" spans="1:24" ht="80" x14ac:dyDescent="0.2">
      <c r="A4" s="6" t="s">
        <v>54</v>
      </c>
      <c r="B4" s="7" t="s">
        <v>55</v>
      </c>
      <c r="C4" s="7" t="s">
        <v>56</v>
      </c>
      <c r="D4" s="7" t="s">
        <v>57</v>
      </c>
      <c r="E4" s="7" t="s">
        <v>58</v>
      </c>
      <c r="F4" s="7" t="s">
        <v>59</v>
      </c>
      <c r="G4" s="7" t="s">
        <v>60</v>
      </c>
      <c r="H4" s="7" t="s">
        <v>46</v>
      </c>
      <c r="I4" s="8">
        <v>6</v>
      </c>
      <c r="J4" s="7" t="s">
        <v>14</v>
      </c>
      <c r="K4" s="7" t="s">
        <v>22</v>
      </c>
      <c r="L4" s="7" t="s">
        <v>22</v>
      </c>
      <c r="M4" s="9">
        <f t="shared" si="0"/>
        <v>730</v>
      </c>
      <c r="N4" s="9">
        <v>2</v>
      </c>
      <c r="O4" s="10"/>
      <c r="P4" s="10"/>
      <c r="Q4" s="10"/>
      <c r="R4" s="11"/>
      <c r="S4" s="12"/>
      <c r="T4" s="12"/>
      <c r="U4" s="13"/>
      <c r="V4" s="13"/>
      <c r="W4" s="13"/>
      <c r="X4" s="13"/>
    </row>
    <row r="5" spans="1:24" ht="96" x14ac:dyDescent="0.2">
      <c r="A5" s="14" t="s">
        <v>54</v>
      </c>
      <c r="B5" s="15" t="s">
        <v>61</v>
      </c>
      <c r="C5" s="15" t="s">
        <v>62</v>
      </c>
      <c r="D5" s="15" t="s">
        <v>63</v>
      </c>
      <c r="E5" s="15" t="s">
        <v>64</v>
      </c>
      <c r="F5" s="15" t="s">
        <v>65</v>
      </c>
      <c r="G5" s="15" t="s">
        <v>66</v>
      </c>
      <c r="H5" s="15" t="s">
        <v>46</v>
      </c>
      <c r="I5" s="16">
        <v>2</v>
      </c>
      <c r="J5" s="15" t="s">
        <v>14</v>
      </c>
      <c r="K5" s="15" t="s">
        <v>67</v>
      </c>
      <c r="L5" s="18"/>
      <c r="M5" s="17">
        <f t="shared" si="0"/>
        <v>384</v>
      </c>
      <c r="N5" s="18"/>
      <c r="O5" s="18"/>
      <c r="P5" s="18"/>
      <c r="Q5" s="17">
        <v>32</v>
      </c>
      <c r="R5" s="28"/>
      <c r="S5" s="29"/>
      <c r="T5" s="29"/>
      <c r="U5" s="13"/>
      <c r="V5" s="13"/>
      <c r="W5" s="13"/>
      <c r="X5" s="13"/>
    </row>
    <row r="6" spans="1:24" ht="96" x14ac:dyDescent="0.2">
      <c r="A6" s="6" t="s">
        <v>47</v>
      </c>
      <c r="B6" s="7" t="s">
        <v>68</v>
      </c>
      <c r="C6" s="7" t="s">
        <v>69</v>
      </c>
      <c r="D6" s="7" t="s">
        <v>70</v>
      </c>
      <c r="E6" s="7" t="s">
        <v>71</v>
      </c>
      <c r="F6" s="7" t="s">
        <v>52</v>
      </c>
      <c r="G6" s="7" t="s">
        <v>72</v>
      </c>
      <c r="H6" s="7" t="s">
        <v>46</v>
      </c>
      <c r="I6" s="8">
        <v>2</v>
      </c>
      <c r="J6" s="7" t="s">
        <v>3</v>
      </c>
      <c r="K6" s="7" t="s">
        <v>17</v>
      </c>
      <c r="L6" s="7" t="s">
        <v>18</v>
      </c>
      <c r="M6" s="9">
        <f t="shared" si="0"/>
        <v>350</v>
      </c>
      <c r="N6" s="10"/>
      <c r="O6" s="10"/>
      <c r="P6" s="10"/>
      <c r="Q6" s="9">
        <f>25*70/60</f>
        <v>29.166666666666668</v>
      </c>
      <c r="R6" s="11"/>
      <c r="S6" s="12"/>
      <c r="T6" s="12"/>
      <c r="U6" s="13"/>
      <c r="V6" s="13"/>
      <c r="W6" s="13"/>
      <c r="X6" s="13"/>
    </row>
    <row r="7" spans="1:24" ht="112" x14ac:dyDescent="0.2">
      <c r="A7" s="14" t="s">
        <v>47</v>
      </c>
      <c r="B7" s="15" t="s">
        <v>73</v>
      </c>
      <c r="C7" s="15" t="s">
        <v>74</v>
      </c>
      <c r="D7" s="15" t="s">
        <v>75</v>
      </c>
      <c r="E7" s="15" t="s">
        <v>76</v>
      </c>
      <c r="F7" s="15" t="s">
        <v>44</v>
      </c>
      <c r="G7" s="15" t="s">
        <v>77</v>
      </c>
      <c r="H7" s="15" t="s">
        <v>46</v>
      </c>
      <c r="I7" s="16">
        <v>4</v>
      </c>
      <c r="J7" s="15" t="s">
        <v>3</v>
      </c>
      <c r="K7" s="15" t="s">
        <v>5</v>
      </c>
      <c r="L7" s="15" t="s">
        <v>9</v>
      </c>
      <c r="M7" s="17">
        <f t="shared" si="0"/>
        <v>300</v>
      </c>
      <c r="N7" s="18"/>
      <c r="O7" s="18"/>
      <c r="P7" s="18"/>
      <c r="Q7" s="17">
        <f>25</f>
        <v>25</v>
      </c>
      <c r="R7" s="28"/>
      <c r="S7" s="29"/>
      <c r="T7" s="29"/>
      <c r="U7" s="13"/>
      <c r="V7" s="13"/>
      <c r="W7" s="13"/>
      <c r="X7" s="13"/>
    </row>
    <row r="8" spans="1:24" ht="80" x14ac:dyDescent="0.2">
      <c r="A8" s="6" t="s">
        <v>47</v>
      </c>
      <c r="B8" s="7" t="s">
        <v>78</v>
      </c>
      <c r="C8" s="7" t="s">
        <v>79</v>
      </c>
      <c r="D8" s="7" t="s">
        <v>80</v>
      </c>
      <c r="E8" s="7" t="s">
        <v>81</v>
      </c>
      <c r="F8" s="7" t="s">
        <v>82</v>
      </c>
      <c r="G8" s="7" t="s">
        <v>79</v>
      </c>
      <c r="H8" s="7" t="s">
        <v>46</v>
      </c>
      <c r="I8" s="8">
        <v>3</v>
      </c>
      <c r="J8" s="7" t="s">
        <v>14</v>
      </c>
      <c r="K8" s="7" t="s">
        <v>17</v>
      </c>
      <c r="L8" s="7" t="s">
        <v>19</v>
      </c>
      <c r="M8" s="9">
        <f t="shared" si="0"/>
        <v>280</v>
      </c>
      <c r="N8" s="10"/>
      <c r="O8" s="10"/>
      <c r="P8" s="10"/>
      <c r="Q8" s="9">
        <f>1400/60</f>
        <v>23.333333333333332</v>
      </c>
      <c r="R8" s="11"/>
      <c r="S8" s="12"/>
      <c r="T8" s="12"/>
      <c r="U8" s="13"/>
      <c r="V8" s="13"/>
      <c r="W8" s="13"/>
      <c r="X8" s="13"/>
    </row>
    <row r="9" spans="1:24" ht="48" x14ac:dyDescent="0.2">
      <c r="A9" s="14" t="s">
        <v>54</v>
      </c>
      <c r="B9" s="15" t="s">
        <v>83</v>
      </c>
      <c r="C9" s="15" t="s">
        <v>84</v>
      </c>
      <c r="D9" s="15" t="s">
        <v>85</v>
      </c>
      <c r="E9" s="15" t="s">
        <v>86</v>
      </c>
      <c r="F9" s="15" t="s">
        <v>65</v>
      </c>
      <c r="G9" s="15" t="s">
        <v>87</v>
      </c>
      <c r="H9" s="15" t="s">
        <v>46</v>
      </c>
      <c r="I9" s="16">
        <v>3</v>
      </c>
      <c r="J9" s="15" t="s">
        <v>14</v>
      </c>
      <c r="K9" s="15" t="s">
        <v>67</v>
      </c>
      <c r="L9" s="18"/>
      <c r="M9" s="17">
        <f t="shared" si="0"/>
        <v>273.75</v>
      </c>
      <c r="N9" s="17">
        <v>0.75</v>
      </c>
      <c r="O9" s="18"/>
      <c r="P9" s="18"/>
      <c r="Q9" s="18"/>
      <c r="R9" s="28"/>
      <c r="S9" s="29"/>
      <c r="T9" s="29"/>
      <c r="U9" s="13"/>
      <c r="V9" s="13"/>
      <c r="W9" s="13"/>
      <c r="X9" s="13"/>
    </row>
    <row r="10" spans="1:24" ht="32" x14ac:dyDescent="0.2">
      <c r="A10" s="6" t="s">
        <v>39</v>
      </c>
      <c r="B10" s="7" t="s">
        <v>40</v>
      </c>
      <c r="C10" s="7" t="s">
        <v>88</v>
      </c>
      <c r="D10" s="7" t="s">
        <v>89</v>
      </c>
      <c r="E10" s="7" t="s">
        <v>90</v>
      </c>
      <c r="F10" s="7" t="s">
        <v>91</v>
      </c>
      <c r="G10" s="7" t="s">
        <v>92</v>
      </c>
      <c r="H10" s="7" t="s">
        <v>46</v>
      </c>
      <c r="I10" s="8">
        <v>3</v>
      </c>
      <c r="J10" s="7" t="s">
        <v>3</v>
      </c>
      <c r="K10" s="7" t="s">
        <v>11</v>
      </c>
      <c r="L10" s="7" t="s">
        <v>13</v>
      </c>
      <c r="M10" s="9">
        <f t="shared" si="0"/>
        <v>208</v>
      </c>
      <c r="N10" s="10"/>
      <c r="O10" s="9">
        <v>4</v>
      </c>
      <c r="P10" s="10"/>
      <c r="Q10" s="10"/>
      <c r="R10" s="11"/>
      <c r="S10" s="12"/>
      <c r="T10" s="12"/>
      <c r="U10" s="13"/>
      <c r="V10" s="13"/>
      <c r="W10" s="13"/>
      <c r="X10" s="13"/>
    </row>
    <row r="11" spans="1:24" ht="48" x14ac:dyDescent="0.2">
      <c r="A11" s="14" t="s">
        <v>54</v>
      </c>
      <c r="B11" s="15" t="s">
        <v>93</v>
      </c>
      <c r="C11" s="15" t="s">
        <v>94</v>
      </c>
      <c r="D11" s="15" t="s">
        <v>95</v>
      </c>
      <c r="E11" s="15" t="s">
        <v>96</v>
      </c>
      <c r="F11" s="15" t="s">
        <v>65</v>
      </c>
      <c r="G11" s="15" t="s">
        <v>97</v>
      </c>
      <c r="H11" s="15" t="s">
        <v>46</v>
      </c>
      <c r="I11" s="16">
        <v>1</v>
      </c>
      <c r="J11" s="15" t="s">
        <v>14</v>
      </c>
      <c r="K11" s="15" t="s">
        <v>67</v>
      </c>
      <c r="L11" s="18"/>
      <c r="M11" s="17">
        <f t="shared" si="0"/>
        <v>192</v>
      </c>
      <c r="N11" s="18"/>
      <c r="O11" s="18"/>
      <c r="P11" s="18"/>
      <c r="Q11" s="17">
        <v>16</v>
      </c>
      <c r="R11" s="28"/>
      <c r="S11" s="28"/>
      <c r="T11" s="29"/>
      <c r="U11" s="19"/>
      <c r="V11" s="19"/>
      <c r="W11" s="18"/>
      <c r="X11" s="19"/>
    </row>
    <row r="12" spans="1:24" ht="96" x14ac:dyDescent="0.2">
      <c r="A12" s="6" t="s">
        <v>54</v>
      </c>
      <c r="B12" s="7" t="s">
        <v>98</v>
      </c>
      <c r="C12" s="7" t="s">
        <v>99</v>
      </c>
      <c r="D12" s="7" t="s">
        <v>100</v>
      </c>
      <c r="E12" s="7" t="s">
        <v>101</v>
      </c>
      <c r="F12" s="7" t="s">
        <v>59</v>
      </c>
      <c r="G12" s="7" t="s">
        <v>102</v>
      </c>
      <c r="H12" s="7" t="s">
        <v>46</v>
      </c>
      <c r="I12" s="8">
        <v>4</v>
      </c>
      <c r="J12" s="7" t="s">
        <v>14</v>
      </c>
      <c r="K12" s="7" t="s">
        <v>22</v>
      </c>
      <c r="L12" s="7" t="s">
        <v>22</v>
      </c>
      <c r="M12" s="9">
        <f t="shared" si="0"/>
        <v>192</v>
      </c>
      <c r="N12" s="10"/>
      <c r="O12" s="10"/>
      <c r="P12" s="10"/>
      <c r="Q12" s="9">
        <v>16</v>
      </c>
      <c r="R12" s="11"/>
      <c r="S12" s="11"/>
      <c r="T12" s="12"/>
      <c r="U12" s="20"/>
      <c r="V12" s="20"/>
      <c r="W12" s="10"/>
      <c r="X12" s="20"/>
    </row>
    <row r="13" spans="1:24" ht="48" x14ac:dyDescent="0.2">
      <c r="A13" s="14" t="s">
        <v>103</v>
      </c>
      <c r="B13" s="15" t="s">
        <v>104</v>
      </c>
      <c r="C13" s="15" t="s">
        <v>105</v>
      </c>
      <c r="D13" s="15" t="s">
        <v>106</v>
      </c>
      <c r="E13" s="15" t="s">
        <v>107</v>
      </c>
      <c r="F13" s="15" t="s">
        <v>108</v>
      </c>
      <c r="G13" s="18"/>
      <c r="H13" s="18"/>
      <c r="I13" s="21"/>
      <c r="J13" s="15" t="s">
        <v>3</v>
      </c>
      <c r="K13" s="15" t="s">
        <v>5</v>
      </c>
      <c r="L13" s="15" t="s">
        <v>6</v>
      </c>
      <c r="M13" s="17">
        <f t="shared" si="0"/>
        <v>180</v>
      </c>
      <c r="N13" s="18"/>
      <c r="O13" s="18"/>
      <c r="P13" s="18"/>
      <c r="Q13" s="17">
        <v>15</v>
      </c>
      <c r="R13" s="28"/>
      <c r="S13" s="28"/>
      <c r="T13" s="29"/>
      <c r="U13" s="19"/>
      <c r="V13" s="19"/>
      <c r="W13" s="18"/>
      <c r="X13" s="19"/>
    </row>
    <row r="14" spans="1:24" ht="32" x14ac:dyDescent="0.2">
      <c r="A14" s="6" t="s">
        <v>39</v>
      </c>
      <c r="B14" s="7" t="s">
        <v>40</v>
      </c>
      <c r="C14" s="7" t="s">
        <v>109</v>
      </c>
      <c r="D14" s="7" t="s">
        <v>89</v>
      </c>
      <c r="E14" s="7" t="s">
        <v>110</v>
      </c>
      <c r="F14" s="7" t="s">
        <v>52</v>
      </c>
      <c r="G14" s="7" t="s">
        <v>111</v>
      </c>
      <c r="H14" s="7" t="s">
        <v>46</v>
      </c>
      <c r="I14" s="8">
        <v>2</v>
      </c>
      <c r="J14" s="7" t="s">
        <v>3</v>
      </c>
      <c r="K14" s="7" t="s">
        <v>11</v>
      </c>
      <c r="L14" s="7" t="s">
        <v>13</v>
      </c>
      <c r="M14" s="9">
        <f t="shared" si="0"/>
        <v>156</v>
      </c>
      <c r="N14" s="10"/>
      <c r="O14" s="9">
        <v>3</v>
      </c>
      <c r="P14" s="10"/>
      <c r="Q14" s="10"/>
      <c r="R14" s="11"/>
      <c r="S14" s="11"/>
      <c r="T14" s="12"/>
      <c r="U14" s="20"/>
      <c r="V14" s="20"/>
      <c r="W14" s="10"/>
      <c r="X14" s="20"/>
    </row>
    <row r="15" spans="1:24" ht="128" x14ac:dyDescent="0.2">
      <c r="A15" s="14" t="s">
        <v>112</v>
      </c>
      <c r="B15" s="15" t="s">
        <v>113</v>
      </c>
      <c r="C15" s="15" t="s">
        <v>114</v>
      </c>
      <c r="D15" s="15" t="s">
        <v>115</v>
      </c>
      <c r="E15" s="15" t="s">
        <v>116</v>
      </c>
      <c r="F15" s="15" t="s">
        <v>117</v>
      </c>
      <c r="G15" s="15" t="s">
        <v>118</v>
      </c>
      <c r="H15" s="15" t="s">
        <v>119</v>
      </c>
      <c r="I15" s="16">
        <v>3</v>
      </c>
      <c r="J15" s="15" t="s">
        <v>3</v>
      </c>
      <c r="K15" s="15" t="s">
        <v>4</v>
      </c>
      <c r="L15" s="15" t="s">
        <v>4</v>
      </c>
      <c r="M15" s="17">
        <f t="shared" si="0"/>
        <v>156</v>
      </c>
      <c r="N15" s="18"/>
      <c r="O15" s="18"/>
      <c r="P15" s="18"/>
      <c r="Q15" s="17">
        <v>13</v>
      </c>
      <c r="R15" s="28"/>
      <c r="S15" s="28"/>
      <c r="T15" s="29"/>
      <c r="U15" s="19"/>
      <c r="V15" s="19"/>
      <c r="W15" s="18"/>
      <c r="X15" s="19"/>
    </row>
    <row r="16" spans="1:24" ht="128" x14ac:dyDescent="0.2">
      <c r="A16" s="6" t="s">
        <v>54</v>
      </c>
      <c r="B16" s="7" t="s">
        <v>120</v>
      </c>
      <c r="C16" s="7" t="s">
        <v>121</v>
      </c>
      <c r="D16" s="7" t="s">
        <v>122</v>
      </c>
      <c r="E16" s="7" t="s">
        <v>123</v>
      </c>
      <c r="F16" s="7" t="s">
        <v>59</v>
      </c>
      <c r="G16" s="7" t="s">
        <v>124</v>
      </c>
      <c r="H16" s="7" t="s">
        <v>46</v>
      </c>
      <c r="I16" s="8">
        <v>5</v>
      </c>
      <c r="J16" s="7" t="s">
        <v>14</v>
      </c>
      <c r="K16" s="7" t="s">
        <v>22</v>
      </c>
      <c r="L16" s="7" t="s">
        <v>22</v>
      </c>
      <c r="M16" s="9">
        <f t="shared" si="0"/>
        <v>120</v>
      </c>
      <c r="N16" s="10"/>
      <c r="O16" s="10"/>
      <c r="P16" s="10"/>
      <c r="Q16" s="9">
        <v>10</v>
      </c>
      <c r="R16" s="11"/>
      <c r="S16" s="11"/>
      <c r="T16" s="12"/>
      <c r="U16" s="20"/>
      <c r="V16" s="20"/>
      <c r="W16" s="10"/>
      <c r="X16" s="20"/>
    </row>
    <row r="17" spans="1:24" ht="96" x14ac:dyDescent="0.2">
      <c r="A17" s="14" t="s">
        <v>47</v>
      </c>
      <c r="B17" s="15" t="s">
        <v>125</v>
      </c>
      <c r="C17" s="15" t="s">
        <v>125</v>
      </c>
      <c r="D17" s="15" t="s">
        <v>126</v>
      </c>
      <c r="E17" s="15" t="s">
        <v>127</v>
      </c>
      <c r="F17" s="15" t="s">
        <v>52</v>
      </c>
      <c r="G17" s="15" t="s">
        <v>128</v>
      </c>
      <c r="H17" s="15" t="s">
        <v>46</v>
      </c>
      <c r="I17" s="16">
        <v>7</v>
      </c>
      <c r="J17" s="15" t="s">
        <v>3</v>
      </c>
      <c r="K17" s="15" t="s">
        <v>11</v>
      </c>
      <c r="L17" s="15" t="s">
        <v>12</v>
      </c>
      <c r="M17" s="17">
        <f t="shared" si="0"/>
        <v>104</v>
      </c>
      <c r="N17" s="18"/>
      <c r="O17" s="17">
        <v>2</v>
      </c>
      <c r="P17" s="18"/>
      <c r="Q17" s="18"/>
      <c r="R17" s="28"/>
      <c r="S17" s="28"/>
      <c r="T17" s="29"/>
      <c r="U17" s="19"/>
      <c r="V17" s="19"/>
      <c r="W17" s="18"/>
      <c r="X17" s="19"/>
    </row>
    <row r="18" spans="1:24" ht="160" x14ac:dyDescent="0.2">
      <c r="A18" s="6" t="s">
        <v>103</v>
      </c>
      <c r="B18" s="7" t="s">
        <v>129</v>
      </c>
      <c r="C18" s="7" t="s">
        <v>130</v>
      </c>
      <c r="D18" s="7" t="s">
        <v>131</v>
      </c>
      <c r="E18" s="7" t="s">
        <v>132</v>
      </c>
      <c r="F18" s="7" t="s">
        <v>133</v>
      </c>
      <c r="G18" s="7" t="s">
        <v>134</v>
      </c>
      <c r="H18" s="10"/>
      <c r="I18" s="22"/>
      <c r="J18" s="7" t="s">
        <v>3</v>
      </c>
      <c r="K18" s="7" t="s">
        <v>5</v>
      </c>
      <c r="L18" s="7" t="s">
        <v>6</v>
      </c>
      <c r="M18" s="9">
        <f t="shared" si="0"/>
        <v>92</v>
      </c>
      <c r="N18" s="10"/>
      <c r="O18" s="10"/>
      <c r="P18" s="9">
        <v>92</v>
      </c>
      <c r="Q18" s="10"/>
      <c r="R18" s="11"/>
      <c r="S18" s="11"/>
      <c r="T18" s="12"/>
      <c r="U18" s="20"/>
      <c r="V18" s="20"/>
      <c r="W18" s="10"/>
      <c r="X18" s="20"/>
    </row>
    <row r="19" spans="1:24" ht="48" x14ac:dyDescent="0.2">
      <c r="A19" s="14" t="s">
        <v>103</v>
      </c>
      <c r="B19" s="15" t="s">
        <v>135</v>
      </c>
      <c r="C19" s="15" t="s">
        <v>136</v>
      </c>
      <c r="D19" s="15" t="s">
        <v>137</v>
      </c>
      <c r="E19" s="15" t="s">
        <v>138</v>
      </c>
      <c r="F19" s="15" t="s">
        <v>139</v>
      </c>
      <c r="G19" s="18"/>
      <c r="H19" s="18"/>
      <c r="I19" s="21"/>
      <c r="J19" s="15" t="s">
        <v>14</v>
      </c>
      <c r="K19" s="15" t="s">
        <v>67</v>
      </c>
      <c r="L19" s="18"/>
      <c r="M19" s="17">
        <f t="shared" si="0"/>
        <v>70</v>
      </c>
      <c r="N19" s="18"/>
      <c r="O19" s="18"/>
      <c r="P19" s="17">
        <v>70</v>
      </c>
      <c r="Q19" s="18"/>
      <c r="R19" s="28"/>
      <c r="S19" s="28"/>
      <c r="T19" s="29"/>
      <c r="U19" s="19"/>
      <c r="V19" s="19"/>
      <c r="W19" s="18"/>
      <c r="X19" s="19"/>
    </row>
    <row r="20" spans="1:24" ht="112" x14ac:dyDescent="0.2">
      <c r="A20" s="6" t="s">
        <v>47</v>
      </c>
      <c r="B20" s="7" t="s">
        <v>140</v>
      </c>
      <c r="C20" s="7" t="s">
        <v>141</v>
      </c>
      <c r="D20" s="7" t="s">
        <v>142</v>
      </c>
      <c r="E20" s="7" t="s">
        <v>143</v>
      </c>
      <c r="F20" s="7" t="s">
        <v>144</v>
      </c>
      <c r="G20" s="7" t="s">
        <v>145</v>
      </c>
      <c r="H20" s="7" t="s">
        <v>146</v>
      </c>
      <c r="I20" s="8">
        <v>4</v>
      </c>
      <c r="J20" s="7" t="s">
        <v>3</v>
      </c>
      <c r="K20" s="7" t="s">
        <v>4</v>
      </c>
      <c r="L20" s="7" t="s">
        <v>4</v>
      </c>
      <c r="M20" s="9">
        <f t="shared" si="0"/>
        <v>60.833333333333329</v>
      </c>
      <c r="N20" s="9">
        <f>10/60</f>
        <v>0.16666666666666666</v>
      </c>
      <c r="O20" s="10"/>
      <c r="P20" s="10"/>
      <c r="Q20" s="10"/>
      <c r="R20" s="11"/>
      <c r="S20" s="11"/>
      <c r="T20" s="12"/>
      <c r="U20" s="20"/>
      <c r="V20" s="20"/>
      <c r="W20" s="10"/>
      <c r="X20" s="20"/>
    </row>
    <row r="21" spans="1:24" ht="288" x14ac:dyDescent="0.2">
      <c r="A21" s="14" t="s">
        <v>112</v>
      </c>
      <c r="B21" s="15" t="s">
        <v>147</v>
      </c>
      <c r="C21" s="15" t="s">
        <v>148</v>
      </c>
      <c r="D21" s="15" t="s">
        <v>115</v>
      </c>
      <c r="E21" s="15" t="s">
        <v>149</v>
      </c>
      <c r="F21" s="15" t="s">
        <v>150</v>
      </c>
      <c r="G21" s="15" t="s">
        <v>151</v>
      </c>
      <c r="H21" s="15" t="s">
        <v>152</v>
      </c>
      <c r="I21" s="16">
        <v>4</v>
      </c>
      <c r="J21" s="15" t="s">
        <v>3</v>
      </c>
      <c r="K21" s="15" t="s">
        <v>4</v>
      </c>
      <c r="L21" s="15" t="s">
        <v>4</v>
      </c>
      <c r="M21" s="17">
        <f t="shared" si="0"/>
        <v>60</v>
      </c>
      <c r="N21" s="18"/>
      <c r="O21" s="18"/>
      <c r="P21" s="18"/>
      <c r="Q21" s="17">
        <v>5</v>
      </c>
      <c r="R21" s="28"/>
      <c r="S21" s="28"/>
      <c r="T21" s="29"/>
      <c r="U21" s="19"/>
      <c r="V21" s="19"/>
      <c r="W21" s="18"/>
      <c r="X21" s="19"/>
    </row>
    <row r="22" spans="1:24" ht="32" x14ac:dyDescent="0.2">
      <c r="A22" s="6" t="s">
        <v>103</v>
      </c>
      <c r="B22" s="7" t="s">
        <v>153</v>
      </c>
      <c r="C22" s="7" t="s">
        <v>154</v>
      </c>
      <c r="D22" s="7" t="s">
        <v>155</v>
      </c>
      <c r="E22" s="7" t="s">
        <v>156</v>
      </c>
      <c r="F22" s="7" t="s">
        <v>108</v>
      </c>
      <c r="G22" s="10"/>
      <c r="H22" s="10"/>
      <c r="I22" s="22"/>
      <c r="J22" s="7" t="s">
        <v>3</v>
      </c>
      <c r="K22" s="7" t="s">
        <v>5</v>
      </c>
      <c r="L22" s="7" t="s">
        <v>8</v>
      </c>
      <c r="M22" s="9">
        <f t="shared" si="0"/>
        <v>48</v>
      </c>
      <c r="N22" s="10"/>
      <c r="O22" s="10"/>
      <c r="P22" s="10"/>
      <c r="Q22" s="9">
        <v>4</v>
      </c>
      <c r="R22" s="11"/>
      <c r="S22" s="11"/>
      <c r="T22" s="12"/>
      <c r="U22" s="20"/>
      <c r="V22" s="20"/>
      <c r="W22" s="10"/>
      <c r="X22" s="20"/>
    </row>
    <row r="23" spans="1:24" ht="48" x14ac:dyDescent="0.2">
      <c r="A23" s="14" t="s">
        <v>47</v>
      </c>
      <c r="B23" s="15" t="s">
        <v>157</v>
      </c>
      <c r="C23" s="15" t="s">
        <v>158</v>
      </c>
      <c r="D23" s="15" t="s">
        <v>75</v>
      </c>
      <c r="E23" s="15" t="s">
        <v>159</v>
      </c>
      <c r="F23" s="15" t="s">
        <v>160</v>
      </c>
      <c r="G23" s="15" t="s">
        <v>161</v>
      </c>
      <c r="H23" s="15" t="s">
        <v>46</v>
      </c>
      <c r="I23" s="16">
        <v>5</v>
      </c>
      <c r="J23" s="15" t="s">
        <v>3</v>
      </c>
      <c r="K23" s="15" t="s">
        <v>5</v>
      </c>
      <c r="L23" s="15" t="s">
        <v>7</v>
      </c>
      <c r="M23" s="17">
        <f t="shared" si="0"/>
        <v>36</v>
      </c>
      <c r="N23" s="18"/>
      <c r="O23" s="18"/>
      <c r="P23" s="18"/>
      <c r="Q23" s="17">
        <v>3</v>
      </c>
      <c r="R23" s="28"/>
      <c r="S23" s="28"/>
      <c r="T23" s="29"/>
      <c r="U23" s="19"/>
      <c r="V23" s="19"/>
      <c r="W23" s="18"/>
      <c r="X23" s="19"/>
    </row>
    <row r="24" spans="1:24" ht="112" x14ac:dyDescent="0.2">
      <c r="A24" s="6" t="s">
        <v>112</v>
      </c>
      <c r="B24" s="7" t="s">
        <v>162</v>
      </c>
      <c r="C24" s="7" t="s">
        <v>163</v>
      </c>
      <c r="D24" s="7" t="s">
        <v>75</v>
      </c>
      <c r="E24" s="7" t="s">
        <v>164</v>
      </c>
      <c r="F24" s="7" t="s">
        <v>165</v>
      </c>
      <c r="G24" s="7" t="s">
        <v>166</v>
      </c>
      <c r="H24" s="7" t="s">
        <v>46</v>
      </c>
      <c r="I24" s="8">
        <v>1</v>
      </c>
      <c r="J24" s="7" t="s">
        <v>3</v>
      </c>
      <c r="K24" s="7" t="s">
        <v>5</v>
      </c>
      <c r="L24" s="7" t="s">
        <v>6</v>
      </c>
      <c r="M24" s="9">
        <f t="shared" si="0"/>
        <v>34</v>
      </c>
      <c r="N24" s="10"/>
      <c r="O24" s="10"/>
      <c r="P24" s="10"/>
      <c r="Q24" s="9">
        <f>4*42.5/60</f>
        <v>2.8333333333333335</v>
      </c>
      <c r="R24" s="11"/>
      <c r="S24" s="11"/>
      <c r="T24" s="12"/>
      <c r="U24" s="20"/>
      <c r="V24" s="20"/>
      <c r="W24" s="10"/>
      <c r="X24" s="20"/>
    </row>
    <row r="25" spans="1:24" ht="48" x14ac:dyDescent="0.2">
      <c r="A25" s="14" t="s">
        <v>47</v>
      </c>
      <c r="B25" s="15" t="s">
        <v>167</v>
      </c>
      <c r="C25" s="15" t="s">
        <v>168</v>
      </c>
      <c r="D25" s="15" t="s">
        <v>70</v>
      </c>
      <c r="E25" s="15" t="s">
        <v>169</v>
      </c>
      <c r="F25" s="15" t="s">
        <v>44</v>
      </c>
      <c r="G25" s="15" t="s">
        <v>170</v>
      </c>
      <c r="H25" s="15" t="s">
        <v>46</v>
      </c>
      <c r="I25" s="16">
        <v>1</v>
      </c>
      <c r="J25" s="15" t="s">
        <v>14</v>
      </c>
      <c r="K25" s="15" t="s">
        <v>17</v>
      </c>
      <c r="L25" s="15" t="s">
        <v>18</v>
      </c>
      <c r="M25" s="17">
        <f t="shared" si="0"/>
        <v>32</v>
      </c>
      <c r="N25" s="18"/>
      <c r="O25" s="18"/>
      <c r="P25" s="18"/>
      <c r="Q25" s="17">
        <f>160/60</f>
        <v>2.6666666666666665</v>
      </c>
      <c r="R25" s="28"/>
      <c r="S25" s="28"/>
      <c r="T25" s="29"/>
      <c r="U25" s="19"/>
      <c r="V25" s="19"/>
      <c r="W25" s="18"/>
      <c r="X25" s="19"/>
    </row>
    <row r="26" spans="1:24" ht="48" x14ac:dyDescent="0.2">
      <c r="A26" s="6" t="s">
        <v>103</v>
      </c>
      <c r="B26" s="7" t="s">
        <v>171</v>
      </c>
      <c r="C26" s="7" t="s">
        <v>172</v>
      </c>
      <c r="D26" s="7" t="s">
        <v>173</v>
      </c>
      <c r="E26" s="7" t="s">
        <v>174</v>
      </c>
      <c r="F26" s="7" t="s">
        <v>175</v>
      </c>
      <c r="G26" s="7" t="s">
        <v>134</v>
      </c>
      <c r="H26" s="10"/>
      <c r="I26" s="22"/>
      <c r="J26" s="7" t="s">
        <v>14</v>
      </c>
      <c r="K26" s="7" t="s">
        <v>15</v>
      </c>
      <c r="L26" s="7" t="s">
        <v>16</v>
      </c>
      <c r="M26" s="9">
        <f t="shared" si="0"/>
        <v>28</v>
      </c>
      <c r="N26" s="10"/>
      <c r="O26" s="10"/>
      <c r="P26" s="9">
        <v>28</v>
      </c>
      <c r="Q26" s="10"/>
      <c r="R26" s="11"/>
      <c r="S26" s="11"/>
      <c r="T26" s="12"/>
      <c r="U26" s="20"/>
      <c r="V26" s="20"/>
      <c r="W26" s="10"/>
      <c r="X26" s="20"/>
    </row>
    <row r="27" spans="1:24" ht="32" x14ac:dyDescent="0.2">
      <c r="A27" s="14" t="s">
        <v>47</v>
      </c>
      <c r="B27" s="15" t="s">
        <v>176</v>
      </c>
      <c r="C27" s="15" t="s">
        <v>177</v>
      </c>
      <c r="D27" s="15" t="s">
        <v>178</v>
      </c>
      <c r="E27" s="15" t="s">
        <v>179</v>
      </c>
      <c r="F27" s="15" t="s">
        <v>52</v>
      </c>
      <c r="G27" s="15" t="s">
        <v>180</v>
      </c>
      <c r="H27" s="15" t="s">
        <v>146</v>
      </c>
      <c r="I27" s="16">
        <v>5</v>
      </c>
      <c r="J27" s="15" t="s">
        <v>3</v>
      </c>
      <c r="K27" s="15" t="s">
        <v>4</v>
      </c>
      <c r="L27" s="15" t="s">
        <v>4</v>
      </c>
      <c r="M27" s="17">
        <f t="shared" si="0"/>
        <v>26</v>
      </c>
      <c r="N27" s="18"/>
      <c r="O27" s="17">
        <f>30/60</f>
        <v>0.5</v>
      </c>
      <c r="P27" s="18"/>
      <c r="Q27" s="18"/>
      <c r="R27" s="28"/>
      <c r="S27" s="28"/>
      <c r="T27" s="29"/>
      <c r="U27" s="19"/>
      <c r="V27" s="19"/>
      <c r="W27" s="18"/>
      <c r="X27" s="19"/>
    </row>
    <row r="28" spans="1:24" ht="64" x14ac:dyDescent="0.2">
      <c r="A28" s="6" t="s">
        <v>47</v>
      </c>
      <c r="B28" s="7" t="s">
        <v>181</v>
      </c>
      <c r="C28" s="7" t="s">
        <v>182</v>
      </c>
      <c r="D28" s="7" t="s">
        <v>183</v>
      </c>
      <c r="E28" s="7" t="s">
        <v>184</v>
      </c>
      <c r="F28" s="7" t="s">
        <v>160</v>
      </c>
      <c r="G28" s="7" t="s">
        <v>185</v>
      </c>
      <c r="H28" s="7" t="s">
        <v>46</v>
      </c>
      <c r="I28" s="8">
        <v>8</v>
      </c>
      <c r="J28" s="7" t="s">
        <v>14</v>
      </c>
      <c r="K28" s="7" t="s">
        <v>23</v>
      </c>
      <c r="L28" s="7" t="s">
        <v>24</v>
      </c>
      <c r="M28" s="9">
        <f t="shared" si="0"/>
        <v>24</v>
      </c>
      <c r="N28" s="10"/>
      <c r="O28" s="10"/>
      <c r="P28" s="9">
        <v>24</v>
      </c>
      <c r="Q28" s="10"/>
      <c r="R28" s="11"/>
      <c r="S28" s="11"/>
      <c r="T28" s="12"/>
      <c r="U28" s="20"/>
      <c r="V28" s="20"/>
      <c r="W28" s="10"/>
      <c r="X28" s="20"/>
    </row>
    <row r="29" spans="1:24" ht="192" x14ac:dyDescent="0.2">
      <c r="A29" s="14" t="s">
        <v>112</v>
      </c>
      <c r="B29" s="15" t="s">
        <v>186</v>
      </c>
      <c r="C29" s="15" t="s">
        <v>187</v>
      </c>
      <c r="D29" s="15" t="s">
        <v>75</v>
      </c>
      <c r="E29" s="15" t="s">
        <v>188</v>
      </c>
      <c r="F29" s="15" t="s">
        <v>165</v>
      </c>
      <c r="G29" s="15" t="s">
        <v>189</v>
      </c>
      <c r="H29" s="15" t="s">
        <v>46</v>
      </c>
      <c r="I29" s="16">
        <v>2</v>
      </c>
      <c r="J29" s="15" t="s">
        <v>3</v>
      </c>
      <c r="K29" s="15" t="s">
        <v>5</v>
      </c>
      <c r="L29" s="15" t="s">
        <v>10</v>
      </c>
      <c r="M29" s="17">
        <f t="shared" si="0"/>
        <v>24</v>
      </c>
      <c r="N29" s="18"/>
      <c r="O29" s="18"/>
      <c r="P29" s="18"/>
      <c r="Q29" s="17">
        <v>2</v>
      </c>
      <c r="R29" s="28"/>
      <c r="S29" s="28"/>
      <c r="T29" s="29"/>
      <c r="U29" s="19"/>
      <c r="V29" s="19"/>
      <c r="W29" s="18"/>
      <c r="X29" s="19"/>
    </row>
    <row r="30" spans="1:24" ht="32" x14ac:dyDescent="0.2">
      <c r="A30" s="6" t="s">
        <v>103</v>
      </c>
      <c r="B30" s="7" t="s">
        <v>190</v>
      </c>
      <c r="C30" s="7" t="s">
        <v>191</v>
      </c>
      <c r="D30" s="7" t="s">
        <v>192</v>
      </c>
      <c r="E30" s="7" t="s">
        <v>193</v>
      </c>
      <c r="F30" s="7" t="s">
        <v>108</v>
      </c>
      <c r="G30" s="10"/>
      <c r="H30" s="10"/>
      <c r="I30" s="22"/>
      <c r="J30" s="7" t="s">
        <v>3</v>
      </c>
      <c r="K30" s="7" t="s">
        <v>5</v>
      </c>
      <c r="L30" s="7" t="s">
        <v>6</v>
      </c>
      <c r="M30" s="9">
        <f t="shared" si="0"/>
        <v>24</v>
      </c>
      <c r="N30" s="10"/>
      <c r="O30" s="10"/>
      <c r="P30" s="10"/>
      <c r="Q30" s="9">
        <v>2</v>
      </c>
      <c r="R30" s="11"/>
      <c r="S30" s="11"/>
      <c r="T30" s="12"/>
      <c r="U30" s="20"/>
      <c r="V30" s="20"/>
      <c r="W30" s="10"/>
      <c r="X30" s="20"/>
    </row>
    <row r="31" spans="1:24" ht="32" x14ac:dyDescent="0.2">
      <c r="A31" s="14" t="s">
        <v>103</v>
      </c>
      <c r="B31" s="15" t="s">
        <v>194</v>
      </c>
      <c r="C31" s="15" t="s">
        <v>195</v>
      </c>
      <c r="D31" s="15" t="s">
        <v>75</v>
      </c>
      <c r="E31" s="15" t="s">
        <v>193</v>
      </c>
      <c r="F31" s="15" t="s">
        <v>108</v>
      </c>
      <c r="G31" s="18"/>
      <c r="H31" s="18"/>
      <c r="I31" s="21"/>
      <c r="J31" s="15" t="s">
        <v>3</v>
      </c>
      <c r="K31" s="15" t="s">
        <v>5</v>
      </c>
      <c r="L31" s="15" t="s">
        <v>6</v>
      </c>
      <c r="M31" s="17">
        <f t="shared" si="0"/>
        <v>24</v>
      </c>
      <c r="N31" s="18"/>
      <c r="O31" s="18"/>
      <c r="P31" s="18"/>
      <c r="Q31" s="17">
        <v>2</v>
      </c>
      <c r="R31" s="28"/>
      <c r="S31" s="28"/>
      <c r="T31" s="29"/>
      <c r="U31" s="19"/>
      <c r="V31" s="19"/>
      <c r="W31" s="18"/>
      <c r="X31" s="19"/>
    </row>
    <row r="32" spans="1:24" ht="32" x14ac:dyDescent="0.2">
      <c r="A32" s="6" t="s">
        <v>196</v>
      </c>
      <c r="B32" s="7" t="s">
        <v>197</v>
      </c>
      <c r="C32" s="7" t="s">
        <v>198</v>
      </c>
      <c r="D32" s="10"/>
      <c r="E32" s="7" t="s">
        <v>199</v>
      </c>
      <c r="F32" s="7" t="s">
        <v>200</v>
      </c>
      <c r="G32" s="7" t="s">
        <v>201</v>
      </c>
      <c r="H32" s="7" t="s">
        <v>46</v>
      </c>
      <c r="I32" s="8">
        <v>1</v>
      </c>
      <c r="J32" s="7" t="s">
        <v>3</v>
      </c>
      <c r="K32" s="7" t="s">
        <v>5</v>
      </c>
      <c r="L32" s="7" t="s">
        <v>6</v>
      </c>
      <c r="M32" s="9">
        <f t="shared" si="0"/>
        <v>20</v>
      </c>
      <c r="N32" s="10"/>
      <c r="O32" s="10"/>
      <c r="P32" s="10"/>
      <c r="Q32" s="9">
        <f t="shared" ref="Q32:Q33" si="1">100/60</f>
        <v>1.6666666666666667</v>
      </c>
      <c r="R32" s="11"/>
      <c r="S32" s="11"/>
      <c r="T32" s="12"/>
      <c r="U32" s="20"/>
      <c r="V32" s="20"/>
      <c r="W32" s="10"/>
      <c r="X32" s="20"/>
    </row>
    <row r="33" spans="1:24" ht="112" x14ac:dyDescent="0.2">
      <c r="A33" s="14" t="s">
        <v>112</v>
      </c>
      <c r="B33" s="15" t="s">
        <v>202</v>
      </c>
      <c r="C33" s="15" t="s">
        <v>203</v>
      </c>
      <c r="D33" s="15" t="s">
        <v>115</v>
      </c>
      <c r="E33" s="15" t="s">
        <v>204</v>
      </c>
      <c r="F33" s="15" t="s">
        <v>117</v>
      </c>
      <c r="G33" s="15" t="s">
        <v>205</v>
      </c>
      <c r="H33" s="15" t="s">
        <v>206</v>
      </c>
      <c r="I33" s="16">
        <v>6</v>
      </c>
      <c r="J33" s="15" t="s">
        <v>3</v>
      </c>
      <c r="K33" s="15" t="s">
        <v>4</v>
      </c>
      <c r="L33" s="15" t="s">
        <v>4</v>
      </c>
      <c r="M33" s="17">
        <f t="shared" si="0"/>
        <v>20</v>
      </c>
      <c r="N33" s="18"/>
      <c r="O33" s="18"/>
      <c r="P33" s="18"/>
      <c r="Q33" s="17">
        <f t="shared" si="1"/>
        <v>1.6666666666666667</v>
      </c>
      <c r="R33" s="28"/>
      <c r="S33" s="28"/>
      <c r="T33" s="29"/>
      <c r="U33" s="19"/>
      <c r="V33" s="19"/>
      <c r="W33" s="18"/>
      <c r="X33" s="19"/>
    </row>
    <row r="34" spans="1:24" ht="96" x14ac:dyDescent="0.2">
      <c r="A34" s="6" t="s">
        <v>112</v>
      </c>
      <c r="B34" s="7" t="s">
        <v>207</v>
      </c>
      <c r="C34" s="7" t="s">
        <v>208</v>
      </c>
      <c r="D34" s="7" t="s">
        <v>75</v>
      </c>
      <c r="E34" s="7" t="s">
        <v>209</v>
      </c>
      <c r="F34" s="7" t="s">
        <v>117</v>
      </c>
      <c r="G34" s="7" t="s">
        <v>210</v>
      </c>
      <c r="H34" s="7" t="s">
        <v>46</v>
      </c>
      <c r="I34" s="8">
        <v>1</v>
      </c>
      <c r="J34" s="7" t="s">
        <v>3</v>
      </c>
      <c r="K34" s="7" t="s">
        <v>11</v>
      </c>
      <c r="L34" s="7" t="s">
        <v>13</v>
      </c>
      <c r="M34" s="9">
        <f t="shared" si="0"/>
        <v>16</v>
      </c>
      <c r="N34" s="10"/>
      <c r="O34" s="10"/>
      <c r="P34" s="10"/>
      <c r="Q34" s="9">
        <f>80/60</f>
        <v>1.3333333333333333</v>
      </c>
      <c r="R34" s="11"/>
      <c r="S34" s="11"/>
      <c r="T34" s="12"/>
      <c r="U34" s="20"/>
      <c r="V34" s="20"/>
      <c r="W34" s="10"/>
      <c r="X34" s="20"/>
    </row>
    <row r="35" spans="1:24" ht="80" x14ac:dyDescent="0.2">
      <c r="A35" s="14" t="s">
        <v>196</v>
      </c>
      <c r="B35" s="15" t="s">
        <v>211</v>
      </c>
      <c r="C35" s="15" t="s">
        <v>212</v>
      </c>
      <c r="D35" s="18"/>
      <c r="E35" s="15" t="s">
        <v>213</v>
      </c>
      <c r="F35" s="15" t="s">
        <v>200</v>
      </c>
      <c r="G35" s="15" t="s">
        <v>214</v>
      </c>
      <c r="H35" s="15" t="s">
        <v>46</v>
      </c>
      <c r="I35" s="16">
        <v>2</v>
      </c>
      <c r="J35" s="15" t="s">
        <v>14</v>
      </c>
      <c r="K35" s="15" t="s">
        <v>215</v>
      </c>
      <c r="L35" s="18"/>
      <c r="M35" s="17">
        <f t="shared" si="0"/>
        <v>12</v>
      </c>
      <c r="N35" s="18"/>
      <c r="O35" s="18"/>
      <c r="P35" s="18"/>
      <c r="Q35" s="17">
        <f>1</f>
        <v>1</v>
      </c>
      <c r="R35" s="28"/>
      <c r="S35" s="28"/>
      <c r="T35" s="29"/>
      <c r="U35" s="19"/>
      <c r="V35" s="19"/>
      <c r="W35" s="18"/>
      <c r="X35" s="19"/>
    </row>
    <row r="36" spans="1:24" ht="80" x14ac:dyDescent="0.2">
      <c r="A36" s="6" t="s">
        <v>112</v>
      </c>
      <c r="B36" s="7" t="s">
        <v>216</v>
      </c>
      <c r="C36" s="7" t="s">
        <v>217</v>
      </c>
      <c r="D36" s="7" t="s">
        <v>218</v>
      </c>
      <c r="E36" s="7" t="s">
        <v>219</v>
      </c>
      <c r="F36" s="7" t="s">
        <v>150</v>
      </c>
      <c r="G36" s="7" t="s">
        <v>220</v>
      </c>
      <c r="H36" s="7" t="s">
        <v>46</v>
      </c>
      <c r="I36" s="8">
        <v>5</v>
      </c>
      <c r="J36" s="7" t="s">
        <v>3</v>
      </c>
      <c r="K36" s="7" t="s">
        <v>5</v>
      </c>
      <c r="L36" s="7" t="s">
        <v>6</v>
      </c>
      <c r="M36" s="9">
        <f t="shared" si="0"/>
        <v>12</v>
      </c>
      <c r="N36" s="10"/>
      <c r="O36" s="10"/>
      <c r="P36" s="10"/>
      <c r="Q36" s="9">
        <v>1</v>
      </c>
      <c r="R36" s="11"/>
      <c r="S36" s="11"/>
      <c r="T36" s="12"/>
      <c r="U36" s="20"/>
      <c r="V36" s="20"/>
      <c r="W36" s="10"/>
      <c r="X36" s="20"/>
    </row>
    <row r="37" spans="1:24" ht="32" x14ac:dyDescent="0.2">
      <c r="A37" s="14" t="s">
        <v>47</v>
      </c>
      <c r="B37" s="15" t="s">
        <v>221</v>
      </c>
      <c r="C37" s="15" t="s">
        <v>222</v>
      </c>
      <c r="D37" s="15" t="s">
        <v>223</v>
      </c>
      <c r="E37" s="15" t="s">
        <v>224</v>
      </c>
      <c r="F37" s="15" t="s">
        <v>44</v>
      </c>
      <c r="G37" s="15" t="s">
        <v>225</v>
      </c>
      <c r="H37" s="15" t="s">
        <v>146</v>
      </c>
      <c r="I37" s="16">
        <v>6</v>
      </c>
      <c r="J37" s="15" t="s">
        <v>3</v>
      </c>
      <c r="K37" s="15" t="s">
        <v>4</v>
      </c>
      <c r="L37" s="15" t="s">
        <v>4</v>
      </c>
      <c r="M37" s="17">
        <f t="shared" si="0"/>
        <v>8.6666666666666661</v>
      </c>
      <c r="N37" s="18"/>
      <c r="O37" s="17">
        <f>10/60</f>
        <v>0.16666666666666666</v>
      </c>
      <c r="P37" s="18"/>
      <c r="Q37" s="18"/>
      <c r="R37" s="28"/>
      <c r="S37" s="28"/>
      <c r="T37" s="29"/>
      <c r="U37" s="19"/>
      <c r="V37" s="19"/>
      <c r="W37" s="18"/>
      <c r="X37" s="19"/>
    </row>
    <row r="38" spans="1:24" ht="32" x14ac:dyDescent="0.2">
      <c r="A38" s="6" t="s">
        <v>112</v>
      </c>
      <c r="B38" s="7" t="s">
        <v>226</v>
      </c>
      <c r="C38" s="7" t="s">
        <v>227</v>
      </c>
      <c r="D38" s="7" t="s">
        <v>75</v>
      </c>
      <c r="E38" s="7" t="s">
        <v>228</v>
      </c>
      <c r="F38" s="7" t="s">
        <v>165</v>
      </c>
      <c r="G38" s="7" t="s">
        <v>229</v>
      </c>
      <c r="H38" s="7" t="s">
        <v>46</v>
      </c>
      <c r="I38" s="8">
        <v>7</v>
      </c>
      <c r="J38" s="7" t="s">
        <v>3</v>
      </c>
      <c r="K38" s="7" t="s">
        <v>5</v>
      </c>
      <c r="L38" s="7" t="s">
        <v>6</v>
      </c>
      <c r="M38" s="9">
        <f t="shared" si="0"/>
        <v>7.1999999999999993</v>
      </c>
      <c r="N38" s="10"/>
      <c r="O38" s="10"/>
      <c r="P38" s="10"/>
      <c r="Q38" s="9">
        <f>36/60</f>
        <v>0.6</v>
      </c>
      <c r="R38" s="11"/>
      <c r="S38" s="11"/>
      <c r="T38" s="12"/>
      <c r="U38" s="20"/>
      <c r="V38" s="20"/>
      <c r="W38" s="10"/>
      <c r="X38" s="20"/>
    </row>
    <row r="39" spans="1:24" ht="32" x14ac:dyDescent="0.2">
      <c r="A39" s="14" t="s">
        <v>112</v>
      </c>
      <c r="B39" s="15" t="s">
        <v>230</v>
      </c>
      <c r="C39" s="15" t="s">
        <v>231</v>
      </c>
      <c r="D39" s="15" t="s">
        <v>75</v>
      </c>
      <c r="E39" s="15" t="s">
        <v>232</v>
      </c>
      <c r="F39" s="15" t="s">
        <v>117</v>
      </c>
      <c r="G39" s="15" t="s">
        <v>233</v>
      </c>
      <c r="H39" s="15" t="s">
        <v>46</v>
      </c>
      <c r="I39" s="16">
        <v>2</v>
      </c>
      <c r="J39" s="15" t="s">
        <v>3</v>
      </c>
      <c r="K39" s="15" t="s">
        <v>11</v>
      </c>
      <c r="L39" s="15" t="s">
        <v>13</v>
      </c>
      <c r="M39" s="17">
        <f t="shared" si="0"/>
        <v>6</v>
      </c>
      <c r="N39" s="18"/>
      <c r="O39" s="18"/>
      <c r="P39" s="18"/>
      <c r="Q39" s="17">
        <f>0.5</f>
        <v>0.5</v>
      </c>
      <c r="R39" s="28"/>
      <c r="S39" s="28"/>
      <c r="T39" s="29"/>
      <c r="U39" s="19"/>
      <c r="V39" s="19"/>
      <c r="W39" s="18"/>
      <c r="X39" s="19"/>
    </row>
    <row r="40" spans="1:24" ht="112" x14ac:dyDescent="0.2">
      <c r="A40" s="6" t="s">
        <v>112</v>
      </c>
      <c r="B40" s="7" t="s">
        <v>234</v>
      </c>
      <c r="C40" s="7" t="s">
        <v>235</v>
      </c>
      <c r="D40" s="7" t="s">
        <v>218</v>
      </c>
      <c r="E40" s="7" t="s">
        <v>236</v>
      </c>
      <c r="F40" s="7" t="s">
        <v>117</v>
      </c>
      <c r="G40" s="7" t="s">
        <v>237</v>
      </c>
      <c r="H40" s="7" t="s">
        <v>46</v>
      </c>
      <c r="I40" s="8">
        <v>8</v>
      </c>
      <c r="J40" s="7" t="s">
        <v>3</v>
      </c>
      <c r="K40" s="7" t="s">
        <v>5</v>
      </c>
      <c r="L40" s="7" t="s">
        <v>10</v>
      </c>
      <c r="M40" s="9">
        <f t="shared" si="0"/>
        <v>6</v>
      </c>
      <c r="N40" s="10"/>
      <c r="O40" s="10"/>
      <c r="P40" s="10"/>
      <c r="Q40" s="9">
        <v>0.5</v>
      </c>
      <c r="R40" s="11"/>
      <c r="S40" s="11"/>
      <c r="T40" s="12"/>
      <c r="U40" s="20"/>
      <c r="V40" s="20"/>
      <c r="W40" s="10"/>
      <c r="X40" s="20"/>
    </row>
    <row r="41" spans="1:24" ht="80" x14ac:dyDescent="0.2">
      <c r="A41" s="14" t="s">
        <v>112</v>
      </c>
      <c r="B41" s="15" t="s">
        <v>238</v>
      </c>
      <c r="C41" s="15" t="s">
        <v>239</v>
      </c>
      <c r="D41" s="15" t="s">
        <v>75</v>
      </c>
      <c r="E41" s="15" t="s">
        <v>240</v>
      </c>
      <c r="F41" s="15" t="s">
        <v>165</v>
      </c>
      <c r="G41" s="15" t="s">
        <v>241</v>
      </c>
      <c r="H41" s="15" t="s">
        <v>242</v>
      </c>
      <c r="I41" s="16">
        <v>9</v>
      </c>
      <c r="J41" s="15" t="s">
        <v>3</v>
      </c>
      <c r="K41" s="15" t="s">
        <v>4</v>
      </c>
      <c r="L41" s="15" t="s">
        <v>4</v>
      </c>
      <c r="M41" s="17">
        <f t="shared" si="0"/>
        <v>2</v>
      </c>
      <c r="N41" s="18"/>
      <c r="O41" s="18"/>
      <c r="P41" s="18"/>
      <c r="Q41" s="17">
        <f t="shared" ref="Q41:Q42" si="2">10/60</f>
        <v>0.16666666666666666</v>
      </c>
      <c r="R41" s="28"/>
      <c r="S41" s="28"/>
      <c r="T41" s="29"/>
      <c r="U41" s="19"/>
      <c r="V41" s="19"/>
      <c r="W41" s="18"/>
      <c r="X41" s="19"/>
    </row>
    <row r="42" spans="1:24" ht="32" x14ac:dyDescent="0.2">
      <c r="A42" s="23" t="s">
        <v>112</v>
      </c>
      <c r="B42" s="24" t="s">
        <v>243</v>
      </c>
      <c r="C42" s="24" t="s">
        <v>244</v>
      </c>
      <c r="D42" s="24" t="s">
        <v>75</v>
      </c>
      <c r="E42" s="24" t="s">
        <v>245</v>
      </c>
      <c r="F42" s="24" t="s">
        <v>117</v>
      </c>
      <c r="G42" s="24" t="s">
        <v>246</v>
      </c>
      <c r="H42" s="24" t="s">
        <v>46</v>
      </c>
      <c r="I42" s="25">
        <v>10</v>
      </c>
      <c r="J42" s="24" t="s">
        <v>3</v>
      </c>
      <c r="K42" s="24" t="s">
        <v>5</v>
      </c>
      <c r="L42" s="24" t="s">
        <v>6</v>
      </c>
      <c r="M42" s="26">
        <f t="shared" si="0"/>
        <v>2</v>
      </c>
      <c r="N42" s="27"/>
      <c r="O42" s="27"/>
      <c r="P42" s="27"/>
      <c r="Q42" s="26">
        <f t="shared" si="2"/>
        <v>0.16666666666666666</v>
      </c>
      <c r="R42" s="30"/>
      <c r="S42" s="30"/>
      <c r="T42" s="12"/>
      <c r="U42" s="20"/>
      <c r="V42" s="20"/>
      <c r="W42" s="27"/>
      <c r="X42" s="20"/>
    </row>
  </sheetData>
  <dataValidations count="1">
    <dataValidation type="custom" allowBlank="1" showDropDown="1" sqref="I2:I42" xr:uid="{00000000-0002-0000-0200-000000000000}">
      <formula1>AND(ISNUMBER(I2),(NOT(OR(NOT(ISERROR(DATEVALUE(I2))), AND(ISNUMBER(I2), LEFT(CELL("format", I2))="D")))))</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Additional Attribute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Jason FANG</dc:creator>
  <cp:lastModifiedBy>Bima Aristo</cp:lastModifiedBy>
  <dcterms:created xsi:type="dcterms:W3CDTF">2015-06-05T18:17:20Z</dcterms:created>
  <dcterms:modified xsi:type="dcterms:W3CDTF">2026-01-12T08:09:33Z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ContentTypeId">
    <vt:lpwstr>0x01010087CF4E7E287EDD44B88A630F809FBACF</vt:lpwstr>
  </property>
  <property fmtid="{D5CDD505-2E9C-101B-9397-08002B2CF9AE}" pid="5" name="MediaServiceImageTags">
    <vt:lpwstr/>
  </property>
</Properties>
</file>